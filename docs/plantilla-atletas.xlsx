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ómo llenar" sheetId="1" state="visible" r:id="rId1"/>
    <sheet name="Atletas" sheetId="2" state="visible" r:id="rId2"/>
    <sheet name="Marcas" sheetId="3" state="visible" r:id="rId3"/>
    <sheet name="Carreras" sheetId="4" state="visible" r:id="rId4"/>
    <sheet name="Listas" sheetId="5" state="hidden" r:id="rId5"/>
  </sheets>
  <definedNames>
    <definedName name="lst_Sexo">Listas!$A$2:$A$3</definedName>
    <definedName name="lst_SiNo">Listas!$B$2:$B$3</definedName>
    <definedName name="lst_Nivel">Listas!$C$2:$C$4</definedName>
    <definedName name="lst_Objetivo">Listas!$D$2:$D$3</definedName>
    <definedName name="lst_Membresia">Listas!$E$2:$E$3</definedName>
    <definedName name="lst_Distancia">Listas!$F$2:$F$5</definedName>
    <definedName name="lst_Deporte">Listas!$G$2:$G$9</definedName>
    <definedName name="lst_Formato">Listas!$H$2:$H$15</definedName>
    <definedName name="_xlnm._FilterDatabase" localSheetId="1" hidden="1">'Atletas'!$A$1:$AA$302</definedName>
    <definedName name="_xlnm._FilterDatabase" localSheetId="2" hidden="1">'Marcas'!$A$1:$G$1502</definedName>
    <definedName name="_xlnm._FilterDatabase" localSheetId="3" hidden="1">'Carreras'!$A$1:$N$152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A6A4F"/>
      <sz val="10"/>
    </font>
    <font>
      <name val="Arial"/>
      <color rgb="00000000"/>
      <sz val="10"/>
    </font>
    <font>
      <name val="Arial"/>
      <b val="1"/>
      <color rgb="000E1620"/>
      <sz val="16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1573C"/>
      </patternFill>
    </fill>
    <fill>
      <patternFill patternType="solid">
        <fgColor rgb="000E1620"/>
      </patternFill>
    </fill>
    <fill>
      <patternFill patternType="solid">
        <fgColor rgb="005B6573"/>
      </patternFill>
    </fill>
    <fill>
      <patternFill patternType="solid">
        <fgColor rgb="00FFF7E6"/>
      </patternFill>
    </fill>
    <fill>
      <patternFill patternType="solid">
        <fgColor rgb="00EEF1F4"/>
      </patternFill>
    </fill>
    <fill>
      <patternFill patternType="solid">
        <fgColor rgb="00FDE2DD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5DAE1"/>
      </left>
      <right style="thin">
        <color rgb="00D5DAE1"/>
      </right>
      <top style="thin">
        <color rgb="00D5DAE1"/>
      </top>
      <bottom style="thin">
        <color rgb="00D5DA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4" borderId="0" pivotButton="0" quotePrefix="0" xfId="0"/>
    <xf numFmtId="0" fontId="5" fillId="5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49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4" fontId="2" fillId="5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4" fontId="3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DE2DD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Umbral</author>
  </authors>
  <commentList>
    <comment ref="A1" authorId="0" shapeId="0">
      <text>
        <t>Obligatorio. Hasta 120 caracteres. Es la clave con la que se enlazan sus marcas.</t>
      </text>
    </comment>
    <comment ref="B1" authorId="0" shapeId="0">
      <text>
        <t>Necesario para invitarlo al portal y para los recordatorios de pago.</t>
      </text>
    </comment>
    <comment ref="D1" authorId="0" shapeId="0">
      <text>
        <t>Fecha pasada (dd/mm/aaaa).</t>
      </text>
    </comment>
    <comment ref="F1" authorId="0" shapeId="0">
      <text>
        <t>Sí / No</t>
      </text>
    </comment>
    <comment ref="G1" authorId="0" shapeId="0">
      <text>
        <t>Sí / No</t>
      </text>
    </comment>
    <comment ref="H1" authorId="0" shapeId="0">
      <text>
        <t>Sí / No</t>
      </text>
    </comment>
    <comment ref="I1" authorId="0" shapeId="0">
      <text>
        <t>Sí / No</t>
      </text>
    </comment>
    <comment ref="K1" authorId="0" shapeId="0">
      <text>
        <t>1 a 7.</t>
      </text>
    </comment>
    <comment ref="L1" authorId="0" shapeId="0">
      <text>
        <t>1 a 40, con un decimal.</t>
      </text>
    </comment>
    <comment ref="M1" authorId="0" shapeId="0">
      <text>
        <t>m:ss, entre 2:00 y 20:00. Ej. 4:45</t>
      </text>
    </comment>
    <comment ref="N1" authorId="0" shapeId="0">
      <text>
        <t>1 a 2000.</t>
      </text>
    </comment>
    <comment ref="O1" authorId="0" shapeId="0">
      <text>
        <t>m:ss, entre 0:40 y 10:00. Ej. 1:55</t>
      </text>
    </comment>
    <comment ref="P1" authorId="0" shapeId="0">
      <text>
        <t>100 a 230.</t>
      </text>
    </comment>
    <comment ref="Q1" authorId="0" shapeId="0">
      <text>
        <t>30 a 120, menor que la FC máxima.</t>
      </text>
    </comment>
    <comment ref="R1" authorId="0" shapeId="0">
      <text>
        <t>Carrera o Mantenimiento.</t>
      </text>
    </comment>
    <comment ref="S1" authorId="0" shapeId="0">
      <text>
        <t>Solo si el objetivo es Carrera. Nombre exacto de una carrera de la hoja Carreras o ya registrada en Umbral (de hoy en adelante).</t>
      </text>
    </comment>
    <comment ref="T1" authorId="0" shapeId="0">
      <text>
        <t>Automático, desde la hoja Carreras.</t>
      </text>
    </comment>
    <comment ref="U1" authorId="0" shapeId="0">
      <text>
        <t>Para Ruta y Trail. m:ss, ej. 5:10</t>
      </text>
    </comment>
    <comment ref="V1" authorId="0" shapeId="0">
      <text>
        <t>Para los demás deportes. Ej. 5:30:00</t>
      </text>
    </comment>
    <comment ref="W1" authorId="0" shapeId="0">
      <text>
        <t>Nombre del grupo. Si no existe, se crea.</t>
      </text>
    </comment>
    <comment ref="X1" authorId="0" shapeId="0">
      <text>
        <t>Manual (cuota mensual) o Gratis. Vacío = Manual sin monto.</t>
      </text>
    </comment>
    <comment ref="Y1" authorId="0" shapeId="0">
      <text>
        <t>Mayor que 0, dos decimales. Obligatorio si la membresía es Manual.</t>
      </text>
    </comment>
    <comment ref="Z1" authorId="0" shapeId="0">
      <text>
        <t>Hasta 8 caracteres. Vacío = $</t>
      </text>
    </comment>
    <comment ref="AA1" authorId="0" shapeId="0">
      <text>
        <t>Sí envía el acceso al portal al importar. Necesita email.</t>
      </text>
    </comment>
    <comment ref="A2" authorId="0" shapeId="0">
      <text>
        <t>Fila de ejemplo: se ignora al importar.</t>
      </text>
    </comment>
  </commentList>
</comments>
</file>

<file path=xl/comments/comment2.xml><?xml version="1.0" encoding="utf-8"?>
<comments xmlns="http://schemas.openxmlformats.org/spreadsheetml/2006/main">
  <authors>
    <author>Umbral</author>
  </authors>
  <commentList>
    <comment ref="A1" authorId="0" shapeId="0">
      <text>
        <t>Nombre completo tal como está en la hoja Atletas.</t>
      </text>
    </comment>
    <comment ref="B1" authorId="0" shapeId="0">
      <text>
        <t>1K, 5K, 10K o 21K.</t>
      </text>
    </comment>
    <comment ref="C1" authorId="0" shapeId="0">
      <text>
        <t>m:ss o h:mm:ss, entre 1:00 y 6:00:00. Ej. 21:30 o 1:42:10</t>
      </text>
    </comment>
    <comment ref="D1" authorId="0" shapeId="0">
      <text>
        <t>Hoy o antes (dd/mm/aaaa).</t>
      </text>
    </comment>
    <comment ref="E1" authorId="0" shapeId="0">
      <text>
        <t>Hasta 500 caracteres. Ej. carrera, condiciones.</t>
      </text>
    </comment>
    <comment ref="F1" authorId="0" shapeId="0">
      <text>
        <t>Automático.</t>
      </text>
    </comment>
    <comment ref="G1" authorId="0" shapeId="0">
      <text>
        <t>Automático.</t>
      </text>
    </comment>
    <comment ref="A2" authorId="0" shapeId="0">
      <text>
        <t>Fila de ejemplo: se ignora al importar.</t>
      </text>
    </comment>
  </commentList>
</comments>
</file>

<file path=xl/comments/comment3.xml><?xml version="1.0" encoding="utf-8"?>
<comments xmlns="http://schemas.openxmlformats.org/spreadsheetml/2006/main">
  <authors>
    <author>Umbral</author>
  </authors>
  <commentList>
    <comment ref="A1" authorId="0" shapeId="0">
      <text>
        <t>Hasta 120 caracteres. Es el nombre que se usa en Carrera objetivo.</t>
      </text>
    </comment>
    <comment ref="B1" authorId="0" shapeId="0">
      <text>
        <t>Hoy o después (dd/mm/aaaa).</t>
      </text>
    </comment>
    <comment ref="C1" authorId="0" shapeId="0">
      <text>
        <t>Hasta 120 caracteres.</t>
      </text>
    </comment>
    <comment ref="E1" authorId="0" shapeId="0">
      <text>
        <t>Ruta: 5K, 10K, Media maratón, Maratón, Otra distancia
Triatlón: Sprint, Olímpico, 70.3, 140.6, Otra distancia
Duatlón: Sprint, Estándar, Otra distancia
Hyrox: Open, Pro, Dobles, Relevos</t>
      </text>
    </comment>
    <comment ref="F1" authorId="0" shapeId="0">
      <text>
        <t>Ruta (otra distancia), Trail, Ciclismo y Otra (opcional).</t>
      </text>
    </comment>
    <comment ref="G1" authorId="0" shapeId="0">
      <text>
        <t>Trail y Ciclismo, opcional.</t>
      </text>
    </comment>
    <comment ref="H1" authorId="0" shapeId="0">
      <text>
        <t>Triatlón, otra distancia.</t>
      </text>
    </comment>
    <comment ref="I1" authorId="0" shapeId="0">
      <text>
        <t>Triatlón y Duatlón, otra distancia.</t>
      </text>
    </comment>
    <comment ref="J1" authorId="0" shapeId="0">
      <text>
        <t>Triatlón, otra distancia.</t>
      </text>
    </comment>
    <comment ref="K1" authorId="0" shapeId="0">
      <text>
        <t>Duatlón, otra distancia.</t>
      </text>
    </comment>
    <comment ref="L1" authorId="0" shapeId="0">
      <text>
        <t>Duatlón, otra distancia.</t>
      </text>
    </comment>
    <comment ref="M1" authorId="0" shapeId="0">
      <text>
        <t>Natación.</t>
      </text>
    </comment>
    <comment ref="N1" authorId="0" shapeId="0">
      <text>
        <t>Solo para Otra. Hasta 60 caracteres.</t>
      </text>
    </comment>
    <comment ref="A2" authorId="0" shapeId="0">
      <text>
        <t>Fila de ejemplo: se ignora al importar.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80" customWidth="1" min="3" max="3"/>
  </cols>
  <sheetData>
    <row r="2">
      <c r="B2" s="1" t="inlineStr">
        <is>
          <t>Importación de atletas</t>
        </is>
      </c>
    </row>
    <row r="4">
      <c r="B4" s="2" t="inlineStr">
        <is>
          <t>Atletas</t>
        </is>
      </c>
      <c r="C4" s="3" t="inlineStr">
        <is>
          <t>Una fila por atleta.</t>
        </is>
      </c>
    </row>
    <row r="5">
      <c r="B5" s="2" t="inlineStr">
        <is>
          <t>Marcas</t>
        </is>
      </c>
      <c r="C5" s="3" t="inlineStr">
        <is>
          <t>Una fila por marca. Varias por atleta y distancia: se guarda el historial y la más reciente es la referencia de ritmos.</t>
        </is>
      </c>
    </row>
    <row r="6">
      <c r="B6" s="2" t="inlineStr">
        <is>
          <t>Carreras</t>
        </is>
      </c>
      <c r="C6" s="3" t="inlineStr">
        <is>
          <t>Carreras nuevas que se usan como objetivo. Las que ya están en Umbral no hace falta repetirlas.</t>
        </is>
      </c>
    </row>
    <row r="7">
      <c r="B7" s="2" t="inlineStr"/>
      <c r="C7" s="3" t="inlineStr"/>
    </row>
    <row r="8">
      <c r="B8" s="4" t="inlineStr">
        <is>
          <t>Encabezado coral</t>
        </is>
      </c>
      <c r="C8" s="3" t="inlineStr">
        <is>
          <t>Obligatorio.</t>
        </is>
      </c>
    </row>
    <row r="9">
      <c r="B9" s="5" t="inlineStr">
        <is>
          <t>Encabezado gris</t>
        </is>
      </c>
      <c r="C9" s="3" t="inlineStr">
        <is>
          <t>Automático, no se llena.</t>
        </is>
      </c>
    </row>
    <row r="10">
      <c r="B10" s="6" t="inlineStr">
        <is>
          <t>Fila amarilla</t>
        </is>
      </c>
      <c r="C10" s="3" t="inlineStr">
        <is>
          <t>Ejemplo. Se ignora al importar.</t>
        </is>
      </c>
    </row>
    <row r="11">
      <c r="B11" s="7" t="inlineStr">
        <is>
          <t>Celda roja</t>
        </is>
      </c>
      <c r="C11" s="3" t="inlineStr">
        <is>
          <t>Falta un dato o hay un valor que no cuadra.</t>
        </is>
      </c>
    </row>
    <row r="12">
      <c r="B12" s="8" t="inlineStr">
        <is>
          <t>Celda gris</t>
        </is>
      </c>
      <c r="C12" s="3" t="inlineStr">
        <is>
          <t>No aplica.</t>
        </is>
      </c>
    </row>
    <row r="13">
      <c r="B13" s="2" t="inlineStr"/>
      <c r="C13" s="3" t="inlineStr"/>
    </row>
    <row r="14">
      <c r="B14" s="2" t="inlineStr">
        <is>
          <t>Tiempos y ritmos</t>
        </is>
      </c>
      <c r="C14" s="3" t="inlineStr">
        <is>
          <t>Como texto: 4:45, 21:30, 1:42:10.</t>
        </is>
      </c>
    </row>
    <row r="15">
      <c r="B15" s="2" t="inlineStr">
        <is>
          <t>Fechas</t>
        </is>
      </c>
      <c r="C15" s="3" t="inlineStr">
        <is>
          <t>dd/mm/aaaa.</t>
        </is>
      </c>
    </row>
    <row r="16">
      <c r="B16" s="2" t="inlineStr">
        <is>
          <t>Notas de columna</t>
        </is>
      </c>
      <c r="C16" s="3" t="inlineStr">
        <is>
          <t>Cada encabezado tiene una nota con su rango válido.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5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0" customWidth="1" min="17" max="17"/>
    <col width="15" customWidth="1" min="18" max="18"/>
    <col width="26" customWidth="1" min="19" max="19"/>
    <col width="13" customWidth="1" min="20" max="20"/>
    <col width="13" customWidth="1" min="21" max="21"/>
    <col width="13" customWidth="1" min="22" max="22"/>
    <col width="16" customWidth="1" min="23" max="23"/>
    <col width="12" customWidth="1" min="24" max="24"/>
    <col width="11" customWidth="1" min="25" max="25"/>
    <col width="9" customWidth="1" min="26" max="26"/>
    <col width="11" customWidth="1" min="27" max="27"/>
  </cols>
  <sheetData>
    <row r="1" ht="42" customHeight="1">
      <c r="A1" s="9" t="inlineStr">
        <is>
          <t>Nombre completo *</t>
        </is>
      </c>
      <c r="B1" s="10" t="inlineStr">
        <is>
          <t>Email</t>
        </is>
      </c>
      <c r="C1" s="10" t="inlineStr">
        <is>
          <t>Teléfono</t>
        </is>
      </c>
      <c r="D1" s="10" t="inlineStr">
        <is>
          <t>Fecha de nacimiento</t>
        </is>
      </c>
      <c r="E1" s="10" t="inlineStr">
        <is>
          <t>Sexo</t>
        </is>
      </c>
      <c r="F1" s="10" t="inlineStr">
        <is>
          <t>Natación</t>
        </is>
      </c>
      <c r="G1" s="10" t="inlineStr">
        <is>
          <t>Ciclismo</t>
        </is>
      </c>
      <c r="H1" s="10" t="inlineStr">
        <is>
          <t>Carrera</t>
        </is>
      </c>
      <c r="I1" s="10" t="inlineStr">
        <is>
          <t>Gimnasio</t>
        </is>
      </c>
      <c r="J1" s="10" t="inlineStr">
        <is>
          <t>Nivel</t>
        </is>
      </c>
      <c r="K1" s="10" t="inlineStr">
        <is>
          <t>Días por semana</t>
        </is>
      </c>
      <c r="L1" s="10" t="inlineStr">
        <is>
          <t>Horas por semana</t>
        </is>
      </c>
      <c r="M1" s="10" t="inlineStr">
        <is>
          <t>Ritmo umbral carrera (min/km)</t>
        </is>
      </c>
      <c r="N1" s="10" t="inlineStr">
        <is>
          <t>FTP (W)</t>
        </is>
      </c>
      <c r="O1" s="10" t="inlineStr">
        <is>
          <t>Ritmo umbral natación (min/100 m)</t>
        </is>
      </c>
      <c r="P1" s="10" t="inlineStr">
        <is>
          <t>FC máxima</t>
        </is>
      </c>
      <c r="Q1" s="10" t="inlineStr">
        <is>
          <t>FC reposo</t>
        </is>
      </c>
      <c r="R1" s="9" t="inlineStr">
        <is>
          <t>Objetivo *</t>
        </is>
      </c>
      <c r="S1" s="10" t="inlineStr">
        <is>
          <t>Carrera objetivo</t>
        </is>
      </c>
      <c r="T1" s="11" t="inlineStr">
        <is>
          <t>Deporte de la carrera</t>
        </is>
      </c>
      <c r="U1" s="10" t="inlineStr">
        <is>
          <t>Ritmo objetivo (min/km)</t>
        </is>
      </c>
      <c r="V1" s="10" t="inlineStr">
        <is>
          <t>Tiempo objetivo (h:mm:ss)</t>
        </is>
      </c>
      <c r="W1" s="10" t="inlineStr">
        <is>
          <t>Grupo</t>
        </is>
      </c>
      <c r="X1" s="10" t="inlineStr">
        <is>
          <t>Membresía</t>
        </is>
      </c>
      <c r="Y1" s="10" t="inlineStr">
        <is>
          <t>Monto mensual</t>
        </is>
      </c>
      <c r="Z1" s="10" t="inlineStr">
        <is>
          <t>Moneda</t>
        </is>
      </c>
      <c r="AA1" s="10" t="inlineStr">
        <is>
          <t>Enviar invitación</t>
        </is>
      </c>
    </row>
    <row r="2">
      <c r="A2" s="12" t="inlineStr">
        <is>
          <t>María José López</t>
        </is>
      </c>
      <c r="B2" s="12" t="inlineStr">
        <is>
          <t>mariajose@correo.com</t>
        </is>
      </c>
      <c r="C2" s="13" t="inlineStr">
        <is>
          <t>7012-3456</t>
        </is>
      </c>
      <c r="D2" s="14" t="n">
        <v>33346</v>
      </c>
      <c r="E2" s="12" t="inlineStr">
        <is>
          <t>Femenino</t>
        </is>
      </c>
      <c r="F2" s="12" t="inlineStr">
        <is>
          <t>Sí</t>
        </is>
      </c>
      <c r="G2" s="12" t="inlineStr">
        <is>
          <t>Sí</t>
        </is>
      </c>
      <c r="H2" s="12" t="inlineStr">
        <is>
          <t>Sí</t>
        </is>
      </c>
      <c r="I2" s="12" t="inlineStr">
        <is>
          <t>No</t>
        </is>
      </c>
      <c r="J2" s="12" t="inlineStr">
        <is>
          <t>Intermedio</t>
        </is>
      </c>
      <c r="K2" s="12" t="n">
        <v>5</v>
      </c>
      <c r="L2" s="15" t="n">
        <v>7.5</v>
      </c>
      <c r="M2" s="13" t="inlineStr">
        <is>
          <t>4:50</t>
        </is>
      </c>
      <c r="N2" s="12" t="n">
        <v>190</v>
      </c>
      <c r="O2" s="13" t="inlineStr">
        <is>
          <t>1:58</t>
        </is>
      </c>
      <c r="P2" s="12" t="n">
        <v>186</v>
      </c>
      <c r="Q2" s="12" t="n">
        <v>52</v>
      </c>
      <c r="R2" s="12" t="inlineStr">
        <is>
          <t>Carrera</t>
        </is>
      </c>
      <c r="S2" s="12" t="inlineStr">
        <is>
          <t>Triatlón de la Costa</t>
        </is>
      </c>
      <c r="T2" s="12">
        <f>IF(S2="","",IFERROR(INDEX(Carreras!$D$2:$D$152,MATCH(S2,Carreras!$A$2:$A$152,0)),"En Umbral"))</f>
        <v/>
      </c>
      <c r="U2" s="13" t="n"/>
      <c r="V2" s="13" t="inlineStr">
        <is>
          <t>2:45:00</t>
        </is>
      </c>
      <c r="W2" s="13" t="inlineStr">
        <is>
          <t>Triatlón A</t>
        </is>
      </c>
      <c r="X2" s="12" t="inlineStr">
        <is>
          <t>Manual</t>
        </is>
      </c>
      <c r="Y2" s="16" t="n">
        <v>40</v>
      </c>
      <c r="Z2" s="12" t="inlineStr">
        <is>
          <t>$</t>
        </is>
      </c>
      <c r="AA2" s="12" t="inlineStr">
        <is>
          <t>Sí</t>
        </is>
      </c>
    </row>
    <row r="3">
      <c r="A3" s="17" t="n"/>
      <c r="B3" s="17" t="n"/>
      <c r="C3" s="18" t="n"/>
      <c r="D3" s="19" t="n"/>
      <c r="E3" s="17" t="n"/>
      <c r="F3" s="17" t="n"/>
      <c r="G3" s="17" t="n"/>
      <c r="H3" s="17" t="n"/>
      <c r="I3" s="17" t="n"/>
      <c r="J3" s="17" t="n"/>
      <c r="K3" s="17" t="n"/>
      <c r="L3" s="20" t="n"/>
      <c r="M3" s="18" t="n"/>
      <c r="N3" s="17" t="n"/>
      <c r="O3" s="18" t="n"/>
      <c r="P3" s="17" t="n"/>
      <c r="Q3" s="17" t="n"/>
      <c r="R3" s="17" t="n"/>
      <c r="S3" s="17" t="n"/>
      <c r="T3" s="21">
        <f>IF(S3="","",IFERROR(INDEX(Carreras!$D$2:$D$152,MATCH(S3,Carreras!$A$2:$A$152,0)),"En Umbral"))</f>
        <v/>
      </c>
      <c r="U3" s="18" t="n"/>
      <c r="V3" s="18" t="n"/>
      <c r="W3" s="18" t="n"/>
      <c r="X3" s="17" t="n"/>
      <c r="Y3" s="22" t="n"/>
      <c r="Z3" s="17" t="n"/>
      <c r="AA3" s="17" t="n"/>
    </row>
    <row r="4">
      <c r="A4" s="17" t="n"/>
      <c r="B4" s="17" t="n"/>
      <c r="C4" s="18" t="n"/>
      <c r="D4" s="19" t="n"/>
      <c r="E4" s="17" t="n"/>
      <c r="F4" s="17" t="n"/>
      <c r="G4" s="17" t="n"/>
      <c r="H4" s="17" t="n"/>
      <c r="I4" s="17" t="n"/>
      <c r="J4" s="17" t="n"/>
      <c r="K4" s="17" t="n"/>
      <c r="L4" s="20" t="n"/>
      <c r="M4" s="18" t="n"/>
      <c r="N4" s="17" t="n"/>
      <c r="O4" s="18" t="n"/>
      <c r="P4" s="17" t="n"/>
      <c r="Q4" s="17" t="n"/>
      <c r="R4" s="17" t="n"/>
      <c r="S4" s="17" t="n"/>
      <c r="T4" s="21">
        <f>IF(S4="","",IFERROR(INDEX(Carreras!$D$2:$D$152,MATCH(S4,Carreras!$A$2:$A$152,0)),"En Umbral"))</f>
        <v/>
      </c>
      <c r="U4" s="18" t="n"/>
      <c r="V4" s="18" t="n"/>
      <c r="W4" s="18" t="n"/>
      <c r="X4" s="17" t="n"/>
      <c r="Y4" s="22" t="n"/>
      <c r="Z4" s="17" t="n"/>
      <c r="AA4" s="17" t="n"/>
    </row>
    <row r="5">
      <c r="A5" s="17" t="n"/>
      <c r="B5" s="17" t="n"/>
      <c r="C5" s="18" t="n"/>
      <c r="D5" s="19" t="n"/>
      <c r="E5" s="17" t="n"/>
      <c r="F5" s="17" t="n"/>
      <c r="G5" s="17" t="n"/>
      <c r="H5" s="17" t="n"/>
      <c r="I5" s="17" t="n"/>
      <c r="J5" s="17" t="n"/>
      <c r="K5" s="17" t="n"/>
      <c r="L5" s="20" t="n"/>
      <c r="M5" s="18" t="n"/>
      <c r="N5" s="17" t="n"/>
      <c r="O5" s="18" t="n"/>
      <c r="P5" s="17" t="n"/>
      <c r="Q5" s="17" t="n"/>
      <c r="R5" s="17" t="n"/>
      <c r="S5" s="17" t="n"/>
      <c r="T5" s="21">
        <f>IF(S5="","",IFERROR(INDEX(Carreras!$D$2:$D$152,MATCH(S5,Carreras!$A$2:$A$152,0)),"En Umbral"))</f>
        <v/>
      </c>
      <c r="U5" s="18" t="n"/>
      <c r="V5" s="18" t="n"/>
      <c r="W5" s="18" t="n"/>
      <c r="X5" s="17" t="n"/>
      <c r="Y5" s="22" t="n"/>
      <c r="Z5" s="17" t="n"/>
      <c r="AA5" s="17" t="n"/>
    </row>
    <row r="6">
      <c r="A6" s="17" t="n"/>
      <c r="B6" s="17" t="n"/>
      <c r="C6" s="18" t="n"/>
      <c r="D6" s="19" t="n"/>
      <c r="E6" s="17" t="n"/>
      <c r="F6" s="17" t="n"/>
      <c r="G6" s="17" t="n"/>
      <c r="H6" s="17" t="n"/>
      <c r="I6" s="17" t="n"/>
      <c r="J6" s="17" t="n"/>
      <c r="K6" s="17" t="n"/>
      <c r="L6" s="20" t="n"/>
      <c r="M6" s="18" t="n"/>
      <c r="N6" s="17" t="n"/>
      <c r="O6" s="18" t="n"/>
      <c r="P6" s="17" t="n"/>
      <c r="Q6" s="17" t="n"/>
      <c r="R6" s="17" t="n"/>
      <c r="S6" s="17" t="n"/>
      <c r="T6" s="21">
        <f>IF(S6="","",IFERROR(INDEX(Carreras!$D$2:$D$152,MATCH(S6,Carreras!$A$2:$A$152,0)),"En Umbral"))</f>
        <v/>
      </c>
      <c r="U6" s="18" t="n"/>
      <c r="V6" s="18" t="n"/>
      <c r="W6" s="18" t="n"/>
      <c r="X6" s="17" t="n"/>
      <c r="Y6" s="22" t="n"/>
      <c r="Z6" s="17" t="n"/>
      <c r="AA6" s="17" t="n"/>
    </row>
    <row r="7">
      <c r="A7" s="17" t="n"/>
      <c r="B7" s="17" t="n"/>
      <c r="C7" s="18" t="n"/>
      <c r="D7" s="19" t="n"/>
      <c r="E7" s="17" t="n"/>
      <c r="F7" s="17" t="n"/>
      <c r="G7" s="17" t="n"/>
      <c r="H7" s="17" t="n"/>
      <c r="I7" s="17" t="n"/>
      <c r="J7" s="17" t="n"/>
      <c r="K7" s="17" t="n"/>
      <c r="L7" s="20" t="n"/>
      <c r="M7" s="18" t="n"/>
      <c r="N7" s="17" t="n"/>
      <c r="O7" s="18" t="n"/>
      <c r="P7" s="17" t="n"/>
      <c r="Q7" s="17" t="n"/>
      <c r="R7" s="17" t="n"/>
      <c r="S7" s="17" t="n"/>
      <c r="T7" s="21">
        <f>IF(S7="","",IFERROR(INDEX(Carreras!$D$2:$D$152,MATCH(S7,Carreras!$A$2:$A$152,0)),"En Umbral"))</f>
        <v/>
      </c>
      <c r="U7" s="18" t="n"/>
      <c r="V7" s="18" t="n"/>
      <c r="W7" s="18" t="n"/>
      <c r="X7" s="17" t="n"/>
      <c r="Y7" s="22" t="n"/>
      <c r="Z7" s="17" t="n"/>
      <c r="AA7" s="17" t="n"/>
    </row>
    <row r="8">
      <c r="A8" s="17" t="n"/>
      <c r="B8" s="17" t="n"/>
      <c r="C8" s="18" t="n"/>
      <c r="D8" s="19" t="n"/>
      <c r="E8" s="17" t="n"/>
      <c r="F8" s="17" t="n"/>
      <c r="G8" s="17" t="n"/>
      <c r="H8" s="17" t="n"/>
      <c r="I8" s="17" t="n"/>
      <c r="J8" s="17" t="n"/>
      <c r="K8" s="17" t="n"/>
      <c r="L8" s="20" t="n"/>
      <c r="M8" s="18" t="n"/>
      <c r="N8" s="17" t="n"/>
      <c r="O8" s="18" t="n"/>
      <c r="P8" s="17" t="n"/>
      <c r="Q8" s="17" t="n"/>
      <c r="R8" s="17" t="n"/>
      <c r="S8" s="17" t="n"/>
      <c r="T8" s="21">
        <f>IF(S8="","",IFERROR(INDEX(Carreras!$D$2:$D$152,MATCH(S8,Carreras!$A$2:$A$152,0)),"En Umbral"))</f>
        <v/>
      </c>
      <c r="U8" s="18" t="n"/>
      <c r="V8" s="18" t="n"/>
      <c r="W8" s="18" t="n"/>
      <c r="X8" s="17" t="n"/>
      <c r="Y8" s="22" t="n"/>
      <c r="Z8" s="17" t="n"/>
      <c r="AA8" s="17" t="n"/>
    </row>
    <row r="9">
      <c r="A9" s="17" t="n"/>
      <c r="B9" s="17" t="n"/>
      <c r="C9" s="18" t="n"/>
      <c r="D9" s="19" t="n"/>
      <c r="E9" s="17" t="n"/>
      <c r="F9" s="17" t="n"/>
      <c r="G9" s="17" t="n"/>
      <c r="H9" s="17" t="n"/>
      <c r="I9" s="17" t="n"/>
      <c r="J9" s="17" t="n"/>
      <c r="K9" s="17" t="n"/>
      <c r="L9" s="20" t="n"/>
      <c r="M9" s="18" t="n"/>
      <c r="N9" s="17" t="n"/>
      <c r="O9" s="18" t="n"/>
      <c r="P9" s="17" t="n"/>
      <c r="Q9" s="17" t="n"/>
      <c r="R9" s="17" t="n"/>
      <c r="S9" s="17" t="n"/>
      <c r="T9" s="21">
        <f>IF(S9="","",IFERROR(INDEX(Carreras!$D$2:$D$152,MATCH(S9,Carreras!$A$2:$A$152,0)),"En Umbral"))</f>
        <v/>
      </c>
      <c r="U9" s="18" t="n"/>
      <c r="V9" s="18" t="n"/>
      <c r="W9" s="18" t="n"/>
      <c r="X9" s="17" t="n"/>
      <c r="Y9" s="22" t="n"/>
      <c r="Z9" s="17" t="n"/>
      <c r="AA9" s="17" t="n"/>
    </row>
    <row r="10">
      <c r="A10" s="17" t="n"/>
      <c r="B10" s="17" t="n"/>
      <c r="C10" s="18" t="n"/>
      <c r="D10" s="19" t="n"/>
      <c r="E10" s="17" t="n"/>
      <c r="F10" s="17" t="n"/>
      <c r="G10" s="17" t="n"/>
      <c r="H10" s="17" t="n"/>
      <c r="I10" s="17" t="n"/>
      <c r="J10" s="17" t="n"/>
      <c r="K10" s="17" t="n"/>
      <c r="L10" s="20" t="n"/>
      <c r="M10" s="18" t="n"/>
      <c r="N10" s="17" t="n"/>
      <c r="O10" s="18" t="n"/>
      <c r="P10" s="17" t="n"/>
      <c r="Q10" s="17" t="n"/>
      <c r="R10" s="17" t="n"/>
      <c r="S10" s="17" t="n"/>
      <c r="T10" s="21">
        <f>IF(S10="","",IFERROR(INDEX(Carreras!$D$2:$D$152,MATCH(S10,Carreras!$A$2:$A$152,0)),"En Umbral"))</f>
        <v/>
      </c>
      <c r="U10" s="18" t="n"/>
      <c r="V10" s="18" t="n"/>
      <c r="W10" s="18" t="n"/>
      <c r="X10" s="17" t="n"/>
      <c r="Y10" s="22" t="n"/>
      <c r="Z10" s="17" t="n"/>
      <c r="AA10" s="17" t="n"/>
    </row>
    <row r="11">
      <c r="A11" s="17" t="n"/>
      <c r="B11" s="17" t="n"/>
      <c r="C11" s="18" t="n"/>
      <c r="D11" s="19" t="n"/>
      <c r="E11" s="17" t="n"/>
      <c r="F11" s="17" t="n"/>
      <c r="G11" s="17" t="n"/>
      <c r="H11" s="17" t="n"/>
      <c r="I11" s="17" t="n"/>
      <c r="J11" s="17" t="n"/>
      <c r="K11" s="17" t="n"/>
      <c r="L11" s="20" t="n"/>
      <c r="M11" s="18" t="n"/>
      <c r="N11" s="17" t="n"/>
      <c r="O11" s="18" t="n"/>
      <c r="P11" s="17" t="n"/>
      <c r="Q11" s="17" t="n"/>
      <c r="R11" s="17" t="n"/>
      <c r="S11" s="17" t="n"/>
      <c r="T11" s="21">
        <f>IF(S11="","",IFERROR(INDEX(Carreras!$D$2:$D$152,MATCH(S11,Carreras!$A$2:$A$152,0)),"En Umbral"))</f>
        <v/>
      </c>
      <c r="U11" s="18" t="n"/>
      <c r="V11" s="18" t="n"/>
      <c r="W11" s="18" t="n"/>
      <c r="X11" s="17" t="n"/>
      <c r="Y11" s="22" t="n"/>
      <c r="Z11" s="17" t="n"/>
      <c r="AA11" s="17" t="n"/>
    </row>
    <row r="12">
      <c r="A12" s="17" t="n"/>
      <c r="B12" s="17" t="n"/>
      <c r="C12" s="18" t="n"/>
      <c r="D12" s="19" t="n"/>
      <c r="E12" s="17" t="n"/>
      <c r="F12" s="17" t="n"/>
      <c r="G12" s="17" t="n"/>
      <c r="H12" s="17" t="n"/>
      <c r="I12" s="17" t="n"/>
      <c r="J12" s="17" t="n"/>
      <c r="K12" s="17" t="n"/>
      <c r="L12" s="20" t="n"/>
      <c r="M12" s="18" t="n"/>
      <c r="N12" s="17" t="n"/>
      <c r="O12" s="18" t="n"/>
      <c r="P12" s="17" t="n"/>
      <c r="Q12" s="17" t="n"/>
      <c r="R12" s="17" t="n"/>
      <c r="S12" s="17" t="n"/>
      <c r="T12" s="21">
        <f>IF(S12="","",IFERROR(INDEX(Carreras!$D$2:$D$152,MATCH(S12,Carreras!$A$2:$A$152,0)),"En Umbral"))</f>
        <v/>
      </c>
      <c r="U12" s="18" t="n"/>
      <c r="V12" s="18" t="n"/>
      <c r="W12" s="18" t="n"/>
      <c r="X12" s="17" t="n"/>
      <c r="Y12" s="22" t="n"/>
      <c r="Z12" s="17" t="n"/>
      <c r="AA12" s="17" t="n"/>
    </row>
    <row r="13">
      <c r="A13" s="17" t="n"/>
      <c r="B13" s="17" t="n"/>
      <c r="C13" s="18" t="n"/>
      <c r="D13" s="19" t="n"/>
      <c r="E13" s="17" t="n"/>
      <c r="F13" s="17" t="n"/>
      <c r="G13" s="17" t="n"/>
      <c r="H13" s="17" t="n"/>
      <c r="I13" s="17" t="n"/>
      <c r="J13" s="17" t="n"/>
      <c r="K13" s="17" t="n"/>
      <c r="L13" s="20" t="n"/>
      <c r="M13" s="18" t="n"/>
      <c r="N13" s="17" t="n"/>
      <c r="O13" s="18" t="n"/>
      <c r="P13" s="17" t="n"/>
      <c r="Q13" s="17" t="n"/>
      <c r="R13" s="17" t="n"/>
      <c r="S13" s="17" t="n"/>
      <c r="T13" s="21">
        <f>IF(S13="","",IFERROR(INDEX(Carreras!$D$2:$D$152,MATCH(S13,Carreras!$A$2:$A$152,0)),"En Umbral"))</f>
        <v/>
      </c>
      <c r="U13" s="18" t="n"/>
      <c r="V13" s="18" t="n"/>
      <c r="W13" s="18" t="n"/>
      <c r="X13" s="17" t="n"/>
      <c r="Y13" s="22" t="n"/>
      <c r="Z13" s="17" t="n"/>
      <c r="AA13" s="17" t="n"/>
    </row>
    <row r="14">
      <c r="A14" s="17" t="n"/>
      <c r="B14" s="17" t="n"/>
      <c r="C14" s="18" t="n"/>
      <c r="D14" s="19" t="n"/>
      <c r="E14" s="17" t="n"/>
      <c r="F14" s="17" t="n"/>
      <c r="G14" s="17" t="n"/>
      <c r="H14" s="17" t="n"/>
      <c r="I14" s="17" t="n"/>
      <c r="J14" s="17" t="n"/>
      <c r="K14" s="17" t="n"/>
      <c r="L14" s="20" t="n"/>
      <c r="M14" s="18" t="n"/>
      <c r="N14" s="17" t="n"/>
      <c r="O14" s="18" t="n"/>
      <c r="P14" s="17" t="n"/>
      <c r="Q14" s="17" t="n"/>
      <c r="R14" s="17" t="n"/>
      <c r="S14" s="17" t="n"/>
      <c r="T14" s="21">
        <f>IF(S14="","",IFERROR(INDEX(Carreras!$D$2:$D$152,MATCH(S14,Carreras!$A$2:$A$152,0)),"En Umbral"))</f>
        <v/>
      </c>
      <c r="U14" s="18" t="n"/>
      <c r="V14" s="18" t="n"/>
      <c r="W14" s="18" t="n"/>
      <c r="X14" s="17" t="n"/>
      <c r="Y14" s="22" t="n"/>
      <c r="Z14" s="17" t="n"/>
      <c r="AA14" s="17" t="n"/>
    </row>
    <row r="15">
      <c r="A15" s="17" t="n"/>
      <c r="B15" s="17" t="n"/>
      <c r="C15" s="18" t="n"/>
      <c r="D15" s="19" t="n"/>
      <c r="E15" s="17" t="n"/>
      <c r="F15" s="17" t="n"/>
      <c r="G15" s="17" t="n"/>
      <c r="H15" s="17" t="n"/>
      <c r="I15" s="17" t="n"/>
      <c r="J15" s="17" t="n"/>
      <c r="K15" s="17" t="n"/>
      <c r="L15" s="20" t="n"/>
      <c r="M15" s="18" t="n"/>
      <c r="N15" s="17" t="n"/>
      <c r="O15" s="18" t="n"/>
      <c r="P15" s="17" t="n"/>
      <c r="Q15" s="17" t="n"/>
      <c r="R15" s="17" t="n"/>
      <c r="S15" s="17" t="n"/>
      <c r="T15" s="21">
        <f>IF(S15="","",IFERROR(INDEX(Carreras!$D$2:$D$152,MATCH(S15,Carreras!$A$2:$A$152,0)),"En Umbral"))</f>
        <v/>
      </c>
      <c r="U15" s="18" t="n"/>
      <c r="V15" s="18" t="n"/>
      <c r="W15" s="18" t="n"/>
      <c r="X15" s="17" t="n"/>
      <c r="Y15" s="22" t="n"/>
      <c r="Z15" s="17" t="n"/>
      <c r="AA15" s="17" t="n"/>
    </row>
    <row r="16">
      <c r="A16" s="17" t="n"/>
      <c r="B16" s="17" t="n"/>
      <c r="C16" s="18" t="n"/>
      <c r="D16" s="19" t="n"/>
      <c r="E16" s="17" t="n"/>
      <c r="F16" s="17" t="n"/>
      <c r="G16" s="17" t="n"/>
      <c r="H16" s="17" t="n"/>
      <c r="I16" s="17" t="n"/>
      <c r="J16" s="17" t="n"/>
      <c r="K16" s="17" t="n"/>
      <c r="L16" s="20" t="n"/>
      <c r="M16" s="18" t="n"/>
      <c r="N16" s="17" t="n"/>
      <c r="O16" s="18" t="n"/>
      <c r="P16" s="17" t="n"/>
      <c r="Q16" s="17" t="n"/>
      <c r="R16" s="17" t="n"/>
      <c r="S16" s="17" t="n"/>
      <c r="T16" s="21">
        <f>IF(S16="","",IFERROR(INDEX(Carreras!$D$2:$D$152,MATCH(S16,Carreras!$A$2:$A$152,0)),"En Umbral"))</f>
        <v/>
      </c>
      <c r="U16" s="18" t="n"/>
      <c r="V16" s="18" t="n"/>
      <c r="W16" s="18" t="n"/>
      <c r="X16" s="17" t="n"/>
      <c r="Y16" s="22" t="n"/>
      <c r="Z16" s="17" t="n"/>
      <c r="AA16" s="17" t="n"/>
    </row>
    <row r="17">
      <c r="A17" s="17" t="n"/>
      <c r="B17" s="17" t="n"/>
      <c r="C17" s="18" t="n"/>
      <c r="D17" s="19" t="n"/>
      <c r="E17" s="17" t="n"/>
      <c r="F17" s="17" t="n"/>
      <c r="G17" s="17" t="n"/>
      <c r="H17" s="17" t="n"/>
      <c r="I17" s="17" t="n"/>
      <c r="J17" s="17" t="n"/>
      <c r="K17" s="17" t="n"/>
      <c r="L17" s="20" t="n"/>
      <c r="M17" s="18" t="n"/>
      <c r="N17" s="17" t="n"/>
      <c r="O17" s="18" t="n"/>
      <c r="P17" s="17" t="n"/>
      <c r="Q17" s="17" t="n"/>
      <c r="R17" s="17" t="n"/>
      <c r="S17" s="17" t="n"/>
      <c r="T17" s="21">
        <f>IF(S17="","",IFERROR(INDEX(Carreras!$D$2:$D$152,MATCH(S17,Carreras!$A$2:$A$152,0)),"En Umbral"))</f>
        <v/>
      </c>
      <c r="U17" s="18" t="n"/>
      <c r="V17" s="18" t="n"/>
      <c r="W17" s="18" t="n"/>
      <c r="X17" s="17" t="n"/>
      <c r="Y17" s="22" t="n"/>
      <c r="Z17" s="17" t="n"/>
      <c r="AA17" s="17" t="n"/>
    </row>
    <row r="18">
      <c r="A18" s="17" t="n"/>
      <c r="B18" s="17" t="n"/>
      <c r="C18" s="18" t="n"/>
      <c r="D18" s="19" t="n"/>
      <c r="E18" s="17" t="n"/>
      <c r="F18" s="17" t="n"/>
      <c r="G18" s="17" t="n"/>
      <c r="H18" s="17" t="n"/>
      <c r="I18" s="17" t="n"/>
      <c r="J18" s="17" t="n"/>
      <c r="K18" s="17" t="n"/>
      <c r="L18" s="20" t="n"/>
      <c r="M18" s="18" t="n"/>
      <c r="N18" s="17" t="n"/>
      <c r="O18" s="18" t="n"/>
      <c r="P18" s="17" t="n"/>
      <c r="Q18" s="17" t="n"/>
      <c r="R18" s="17" t="n"/>
      <c r="S18" s="17" t="n"/>
      <c r="T18" s="21">
        <f>IF(S18="","",IFERROR(INDEX(Carreras!$D$2:$D$152,MATCH(S18,Carreras!$A$2:$A$152,0)),"En Umbral"))</f>
        <v/>
      </c>
      <c r="U18" s="18" t="n"/>
      <c r="V18" s="18" t="n"/>
      <c r="W18" s="18" t="n"/>
      <c r="X18" s="17" t="n"/>
      <c r="Y18" s="22" t="n"/>
      <c r="Z18" s="17" t="n"/>
      <c r="AA18" s="17" t="n"/>
    </row>
    <row r="19">
      <c r="A19" s="17" t="n"/>
      <c r="B19" s="17" t="n"/>
      <c r="C19" s="18" t="n"/>
      <c r="D19" s="19" t="n"/>
      <c r="E19" s="17" t="n"/>
      <c r="F19" s="17" t="n"/>
      <c r="G19" s="17" t="n"/>
      <c r="H19" s="17" t="n"/>
      <c r="I19" s="17" t="n"/>
      <c r="J19" s="17" t="n"/>
      <c r="K19" s="17" t="n"/>
      <c r="L19" s="20" t="n"/>
      <c r="M19" s="18" t="n"/>
      <c r="N19" s="17" t="n"/>
      <c r="O19" s="18" t="n"/>
      <c r="P19" s="17" t="n"/>
      <c r="Q19" s="17" t="n"/>
      <c r="R19" s="17" t="n"/>
      <c r="S19" s="17" t="n"/>
      <c r="T19" s="21">
        <f>IF(S19="","",IFERROR(INDEX(Carreras!$D$2:$D$152,MATCH(S19,Carreras!$A$2:$A$152,0)),"En Umbral"))</f>
        <v/>
      </c>
      <c r="U19" s="18" t="n"/>
      <c r="V19" s="18" t="n"/>
      <c r="W19" s="18" t="n"/>
      <c r="X19" s="17" t="n"/>
      <c r="Y19" s="22" t="n"/>
      <c r="Z19" s="17" t="n"/>
      <c r="AA19" s="17" t="n"/>
    </row>
    <row r="20">
      <c r="A20" s="17" t="n"/>
      <c r="B20" s="17" t="n"/>
      <c r="C20" s="18" t="n"/>
      <c r="D20" s="19" t="n"/>
      <c r="E20" s="17" t="n"/>
      <c r="F20" s="17" t="n"/>
      <c r="G20" s="17" t="n"/>
      <c r="H20" s="17" t="n"/>
      <c r="I20" s="17" t="n"/>
      <c r="J20" s="17" t="n"/>
      <c r="K20" s="17" t="n"/>
      <c r="L20" s="20" t="n"/>
      <c r="M20" s="18" t="n"/>
      <c r="N20" s="17" t="n"/>
      <c r="O20" s="18" t="n"/>
      <c r="P20" s="17" t="n"/>
      <c r="Q20" s="17" t="n"/>
      <c r="R20" s="17" t="n"/>
      <c r="S20" s="17" t="n"/>
      <c r="T20" s="21">
        <f>IF(S20="","",IFERROR(INDEX(Carreras!$D$2:$D$152,MATCH(S20,Carreras!$A$2:$A$152,0)),"En Umbral"))</f>
        <v/>
      </c>
      <c r="U20" s="18" t="n"/>
      <c r="V20" s="18" t="n"/>
      <c r="W20" s="18" t="n"/>
      <c r="X20" s="17" t="n"/>
      <c r="Y20" s="22" t="n"/>
      <c r="Z20" s="17" t="n"/>
      <c r="AA20" s="17" t="n"/>
    </row>
    <row r="21">
      <c r="A21" s="17" t="n"/>
      <c r="B21" s="17" t="n"/>
      <c r="C21" s="18" t="n"/>
      <c r="D21" s="19" t="n"/>
      <c r="E21" s="17" t="n"/>
      <c r="F21" s="17" t="n"/>
      <c r="G21" s="17" t="n"/>
      <c r="H21" s="17" t="n"/>
      <c r="I21" s="17" t="n"/>
      <c r="J21" s="17" t="n"/>
      <c r="K21" s="17" t="n"/>
      <c r="L21" s="20" t="n"/>
      <c r="M21" s="18" t="n"/>
      <c r="N21" s="17" t="n"/>
      <c r="O21" s="18" t="n"/>
      <c r="P21" s="17" t="n"/>
      <c r="Q21" s="17" t="n"/>
      <c r="R21" s="17" t="n"/>
      <c r="S21" s="17" t="n"/>
      <c r="T21" s="21">
        <f>IF(S21="","",IFERROR(INDEX(Carreras!$D$2:$D$152,MATCH(S21,Carreras!$A$2:$A$152,0)),"En Umbral"))</f>
        <v/>
      </c>
      <c r="U21" s="18" t="n"/>
      <c r="V21" s="18" t="n"/>
      <c r="W21" s="18" t="n"/>
      <c r="X21" s="17" t="n"/>
      <c r="Y21" s="22" t="n"/>
      <c r="Z21" s="17" t="n"/>
      <c r="AA21" s="17" t="n"/>
    </row>
    <row r="22">
      <c r="A22" s="17" t="n"/>
      <c r="B22" s="17" t="n"/>
      <c r="C22" s="18" t="n"/>
      <c r="D22" s="19" t="n"/>
      <c r="E22" s="17" t="n"/>
      <c r="F22" s="17" t="n"/>
      <c r="G22" s="17" t="n"/>
      <c r="H22" s="17" t="n"/>
      <c r="I22" s="17" t="n"/>
      <c r="J22" s="17" t="n"/>
      <c r="K22" s="17" t="n"/>
      <c r="L22" s="20" t="n"/>
      <c r="M22" s="18" t="n"/>
      <c r="N22" s="17" t="n"/>
      <c r="O22" s="18" t="n"/>
      <c r="P22" s="17" t="n"/>
      <c r="Q22" s="17" t="n"/>
      <c r="R22" s="17" t="n"/>
      <c r="S22" s="17" t="n"/>
      <c r="T22" s="21">
        <f>IF(S22="","",IFERROR(INDEX(Carreras!$D$2:$D$152,MATCH(S22,Carreras!$A$2:$A$152,0)),"En Umbral"))</f>
        <v/>
      </c>
      <c r="U22" s="18" t="n"/>
      <c r="V22" s="18" t="n"/>
      <c r="W22" s="18" t="n"/>
      <c r="X22" s="17" t="n"/>
      <c r="Y22" s="22" t="n"/>
      <c r="Z22" s="17" t="n"/>
      <c r="AA22" s="17" t="n"/>
    </row>
    <row r="23">
      <c r="A23" s="17" t="n"/>
      <c r="B23" s="17" t="n"/>
      <c r="C23" s="18" t="n"/>
      <c r="D23" s="19" t="n"/>
      <c r="E23" s="17" t="n"/>
      <c r="F23" s="17" t="n"/>
      <c r="G23" s="17" t="n"/>
      <c r="H23" s="17" t="n"/>
      <c r="I23" s="17" t="n"/>
      <c r="J23" s="17" t="n"/>
      <c r="K23" s="17" t="n"/>
      <c r="L23" s="20" t="n"/>
      <c r="M23" s="18" t="n"/>
      <c r="N23" s="17" t="n"/>
      <c r="O23" s="18" t="n"/>
      <c r="P23" s="17" t="n"/>
      <c r="Q23" s="17" t="n"/>
      <c r="R23" s="17" t="n"/>
      <c r="S23" s="17" t="n"/>
      <c r="T23" s="21">
        <f>IF(S23="","",IFERROR(INDEX(Carreras!$D$2:$D$152,MATCH(S23,Carreras!$A$2:$A$152,0)),"En Umbral"))</f>
        <v/>
      </c>
      <c r="U23" s="18" t="n"/>
      <c r="V23" s="18" t="n"/>
      <c r="W23" s="18" t="n"/>
      <c r="X23" s="17" t="n"/>
      <c r="Y23" s="22" t="n"/>
      <c r="Z23" s="17" t="n"/>
      <c r="AA23" s="17" t="n"/>
    </row>
    <row r="24">
      <c r="A24" s="17" t="n"/>
      <c r="B24" s="17" t="n"/>
      <c r="C24" s="18" t="n"/>
      <c r="D24" s="19" t="n"/>
      <c r="E24" s="17" t="n"/>
      <c r="F24" s="17" t="n"/>
      <c r="G24" s="17" t="n"/>
      <c r="H24" s="17" t="n"/>
      <c r="I24" s="17" t="n"/>
      <c r="J24" s="17" t="n"/>
      <c r="K24" s="17" t="n"/>
      <c r="L24" s="20" t="n"/>
      <c r="M24" s="18" t="n"/>
      <c r="N24" s="17" t="n"/>
      <c r="O24" s="18" t="n"/>
      <c r="P24" s="17" t="n"/>
      <c r="Q24" s="17" t="n"/>
      <c r="R24" s="17" t="n"/>
      <c r="S24" s="17" t="n"/>
      <c r="T24" s="21">
        <f>IF(S24="","",IFERROR(INDEX(Carreras!$D$2:$D$152,MATCH(S24,Carreras!$A$2:$A$152,0)),"En Umbral"))</f>
        <v/>
      </c>
      <c r="U24" s="18" t="n"/>
      <c r="V24" s="18" t="n"/>
      <c r="W24" s="18" t="n"/>
      <c r="X24" s="17" t="n"/>
      <c r="Y24" s="22" t="n"/>
      <c r="Z24" s="17" t="n"/>
      <c r="AA24" s="17" t="n"/>
    </row>
    <row r="25">
      <c r="A25" s="17" t="n"/>
      <c r="B25" s="17" t="n"/>
      <c r="C25" s="18" t="n"/>
      <c r="D25" s="19" t="n"/>
      <c r="E25" s="17" t="n"/>
      <c r="F25" s="17" t="n"/>
      <c r="G25" s="17" t="n"/>
      <c r="H25" s="17" t="n"/>
      <c r="I25" s="17" t="n"/>
      <c r="J25" s="17" t="n"/>
      <c r="K25" s="17" t="n"/>
      <c r="L25" s="20" t="n"/>
      <c r="M25" s="18" t="n"/>
      <c r="N25" s="17" t="n"/>
      <c r="O25" s="18" t="n"/>
      <c r="P25" s="17" t="n"/>
      <c r="Q25" s="17" t="n"/>
      <c r="R25" s="17" t="n"/>
      <c r="S25" s="17" t="n"/>
      <c r="T25" s="21">
        <f>IF(S25="","",IFERROR(INDEX(Carreras!$D$2:$D$152,MATCH(S25,Carreras!$A$2:$A$152,0)),"En Umbral"))</f>
        <v/>
      </c>
      <c r="U25" s="18" t="n"/>
      <c r="V25" s="18" t="n"/>
      <c r="W25" s="18" t="n"/>
      <c r="X25" s="17" t="n"/>
      <c r="Y25" s="22" t="n"/>
      <c r="Z25" s="17" t="n"/>
      <c r="AA25" s="17" t="n"/>
    </row>
    <row r="26">
      <c r="A26" s="17" t="n"/>
      <c r="B26" s="17" t="n"/>
      <c r="C26" s="18" t="n"/>
      <c r="D26" s="19" t="n"/>
      <c r="E26" s="17" t="n"/>
      <c r="F26" s="17" t="n"/>
      <c r="G26" s="17" t="n"/>
      <c r="H26" s="17" t="n"/>
      <c r="I26" s="17" t="n"/>
      <c r="J26" s="17" t="n"/>
      <c r="K26" s="17" t="n"/>
      <c r="L26" s="20" t="n"/>
      <c r="M26" s="18" t="n"/>
      <c r="N26" s="17" t="n"/>
      <c r="O26" s="18" t="n"/>
      <c r="P26" s="17" t="n"/>
      <c r="Q26" s="17" t="n"/>
      <c r="R26" s="17" t="n"/>
      <c r="S26" s="17" t="n"/>
      <c r="T26" s="21">
        <f>IF(S26="","",IFERROR(INDEX(Carreras!$D$2:$D$152,MATCH(S26,Carreras!$A$2:$A$152,0)),"En Umbral"))</f>
        <v/>
      </c>
      <c r="U26" s="18" t="n"/>
      <c r="V26" s="18" t="n"/>
      <c r="W26" s="18" t="n"/>
      <c r="X26" s="17" t="n"/>
      <c r="Y26" s="22" t="n"/>
      <c r="Z26" s="17" t="n"/>
      <c r="AA26" s="17" t="n"/>
    </row>
    <row r="27">
      <c r="A27" s="17" t="n"/>
      <c r="B27" s="17" t="n"/>
      <c r="C27" s="18" t="n"/>
      <c r="D27" s="19" t="n"/>
      <c r="E27" s="17" t="n"/>
      <c r="F27" s="17" t="n"/>
      <c r="G27" s="17" t="n"/>
      <c r="H27" s="17" t="n"/>
      <c r="I27" s="17" t="n"/>
      <c r="J27" s="17" t="n"/>
      <c r="K27" s="17" t="n"/>
      <c r="L27" s="20" t="n"/>
      <c r="M27" s="18" t="n"/>
      <c r="N27" s="17" t="n"/>
      <c r="O27" s="18" t="n"/>
      <c r="P27" s="17" t="n"/>
      <c r="Q27" s="17" t="n"/>
      <c r="R27" s="17" t="n"/>
      <c r="S27" s="17" t="n"/>
      <c r="T27" s="21">
        <f>IF(S27="","",IFERROR(INDEX(Carreras!$D$2:$D$152,MATCH(S27,Carreras!$A$2:$A$152,0)),"En Umbral"))</f>
        <v/>
      </c>
      <c r="U27" s="18" t="n"/>
      <c r="V27" s="18" t="n"/>
      <c r="W27" s="18" t="n"/>
      <c r="X27" s="17" t="n"/>
      <c r="Y27" s="22" t="n"/>
      <c r="Z27" s="17" t="n"/>
      <c r="AA27" s="17" t="n"/>
    </row>
    <row r="28">
      <c r="A28" s="17" t="n"/>
      <c r="B28" s="17" t="n"/>
      <c r="C28" s="18" t="n"/>
      <c r="D28" s="19" t="n"/>
      <c r="E28" s="17" t="n"/>
      <c r="F28" s="17" t="n"/>
      <c r="G28" s="17" t="n"/>
      <c r="H28" s="17" t="n"/>
      <c r="I28" s="17" t="n"/>
      <c r="J28" s="17" t="n"/>
      <c r="K28" s="17" t="n"/>
      <c r="L28" s="20" t="n"/>
      <c r="M28" s="18" t="n"/>
      <c r="N28" s="17" t="n"/>
      <c r="O28" s="18" t="n"/>
      <c r="P28" s="17" t="n"/>
      <c r="Q28" s="17" t="n"/>
      <c r="R28" s="17" t="n"/>
      <c r="S28" s="17" t="n"/>
      <c r="T28" s="21">
        <f>IF(S28="","",IFERROR(INDEX(Carreras!$D$2:$D$152,MATCH(S28,Carreras!$A$2:$A$152,0)),"En Umbral"))</f>
        <v/>
      </c>
      <c r="U28" s="18" t="n"/>
      <c r="V28" s="18" t="n"/>
      <c r="W28" s="18" t="n"/>
      <c r="X28" s="17" t="n"/>
      <c r="Y28" s="22" t="n"/>
      <c r="Z28" s="17" t="n"/>
      <c r="AA28" s="17" t="n"/>
    </row>
    <row r="29">
      <c r="A29" s="17" t="n"/>
      <c r="B29" s="17" t="n"/>
      <c r="C29" s="18" t="n"/>
      <c r="D29" s="19" t="n"/>
      <c r="E29" s="17" t="n"/>
      <c r="F29" s="17" t="n"/>
      <c r="G29" s="17" t="n"/>
      <c r="H29" s="17" t="n"/>
      <c r="I29" s="17" t="n"/>
      <c r="J29" s="17" t="n"/>
      <c r="K29" s="17" t="n"/>
      <c r="L29" s="20" t="n"/>
      <c r="M29" s="18" t="n"/>
      <c r="N29" s="17" t="n"/>
      <c r="O29" s="18" t="n"/>
      <c r="P29" s="17" t="n"/>
      <c r="Q29" s="17" t="n"/>
      <c r="R29" s="17" t="n"/>
      <c r="S29" s="17" t="n"/>
      <c r="T29" s="21">
        <f>IF(S29="","",IFERROR(INDEX(Carreras!$D$2:$D$152,MATCH(S29,Carreras!$A$2:$A$152,0)),"En Umbral"))</f>
        <v/>
      </c>
      <c r="U29" s="18" t="n"/>
      <c r="V29" s="18" t="n"/>
      <c r="W29" s="18" t="n"/>
      <c r="X29" s="17" t="n"/>
      <c r="Y29" s="22" t="n"/>
      <c r="Z29" s="17" t="n"/>
      <c r="AA29" s="17" t="n"/>
    </row>
    <row r="30">
      <c r="A30" s="17" t="n"/>
      <c r="B30" s="17" t="n"/>
      <c r="C30" s="18" t="n"/>
      <c r="D30" s="19" t="n"/>
      <c r="E30" s="17" t="n"/>
      <c r="F30" s="17" t="n"/>
      <c r="G30" s="17" t="n"/>
      <c r="H30" s="17" t="n"/>
      <c r="I30" s="17" t="n"/>
      <c r="J30" s="17" t="n"/>
      <c r="K30" s="17" t="n"/>
      <c r="L30" s="20" t="n"/>
      <c r="M30" s="18" t="n"/>
      <c r="N30" s="17" t="n"/>
      <c r="O30" s="18" t="n"/>
      <c r="P30" s="17" t="n"/>
      <c r="Q30" s="17" t="n"/>
      <c r="R30" s="17" t="n"/>
      <c r="S30" s="17" t="n"/>
      <c r="T30" s="21">
        <f>IF(S30="","",IFERROR(INDEX(Carreras!$D$2:$D$152,MATCH(S30,Carreras!$A$2:$A$152,0)),"En Umbral"))</f>
        <v/>
      </c>
      <c r="U30" s="18" t="n"/>
      <c r="V30" s="18" t="n"/>
      <c r="W30" s="18" t="n"/>
      <c r="X30" s="17" t="n"/>
      <c r="Y30" s="22" t="n"/>
      <c r="Z30" s="17" t="n"/>
      <c r="AA30" s="17" t="n"/>
    </row>
    <row r="31">
      <c r="A31" s="17" t="n"/>
      <c r="B31" s="17" t="n"/>
      <c r="C31" s="18" t="n"/>
      <c r="D31" s="19" t="n"/>
      <c r="E31" s="17" t="n"/>
      <c r="F31" s="17" t="n"/>
      <c r="G31" s="17" t="n"/>
      <c r="H31" s="17" t="n"/>
      <c r="I31" s="17" t="n"/>
      <c r="J31" s="17" t="n"/>
      <c r="K31" s="17" t="n"/>
      <c r="L31" s="20" t="n"/>
      <c r="M31" s="18" t="n"/>
      <c r="N31" s="17" t="n"/>
      <c r="O31" s="18" t="n"/>
      <c r="P31" s="17" t="n"/>
      <c r="Q31" s="17" t="n"/>
      <c r="R31" s="17" t="n"/>
      <c r="S31" s="17" t="n"/>
      <c r="T31" s="21">
        <f>IF(S31="","",IFERROR(INDEX(Carreras!$D$2:$D$152,MATCH(S31,Carreras!$A$2:$A$152,0)),"En Umbral"))</f>
        <v/>
      </c>
      <c r="U31" s="18" t="n"/>
      <c r="V31" s="18" t="n"/>
      <c r="W31" s="18" t="n"/>
      <c r="X31" s="17" t="n"/>
      <c r="Y31" s="22" t="n"/>
      <c r="Z31" s="17" t="n"/>
      <c r="AA31" s="17" t="n"/>
    </row>
    <row r="32">
      <c r="A32" s="17" t="n"/>
      <c r="B32" s="17" t="n"/>
      <c r="C32" s="18" t="n"/>
      <c r="D32" s="19" t="n"/>
      <c r="E32" s="17" t="n"/>
      <c r="F32" s="17" t="n"/>
      <c r="G32" s="17" t="n"/>
      <c r="H32" s="17" t="n"/>
      <c r="I32" s="17" t="n"/>
      <c r="J32" s="17" t="n"/>
      <c r="K32" s="17" t="n"/>
      <c r="L32" s="20" t="n"/>
      <c r="M32" s="18" t="n"/>
      <c r="N32" s="17" t="n"/>
      <c r="O32" s="18" t="n"/>
      <c r="P32" s="17" t="n"/>
      <c r="Q32" s="17" t="n"/>
      <c r="R32" s="17" t="n"/>
      <c r="S32" s="17" t="n"/>
      <c r="T32" s="21">
        <f>IF(S32="","",IFERROR(INDEX(Carreras!$D$2:$D$152,MATCH(S32,Carreras!$A$2:$A$152,0)),"En Umbral"))</f>
        <v/>
      </c>
      <c r="U32" s="18" t="n"/>
      <c r="V32" s="18" t="n"/>
      <c r="W32" s="18" t="n"/>
      <c r="X32" s="17" t="n"/>
      <c r="Y32" s="22" t="n"/>
      <c r="Z32" s="17" t="n"/>
      <c r="AA32" s="17" t="n"/>
    </row>
    <row r="33">
      <c r="A33" s="17" t="n"/>
      <c r="B33" s="17" t="n"/>
      <c r="C33" s="18" t="n"/>
      <c r="D33" s="19" t="n"/>
      <c r="E33" s="17" t="n"/>
      <c r="F33" s="17" t="n"/>
      <c r="G33" s="17" t="n"/>
      <c r="H33" s="17" t="n"/>
      <c r="I33" s="17" t="n"/>
      <c r="J33" s="17" t="n"/>
      <c r="K33" s="17" t="n"/>
      <c r="L33" s="20" t="n"/>
      <c r="M33" s="18" t="n"/>
      <c r="N33" s="17" t="n"/>
      <c r="O33" s="18" t="n"/>
      <c r="P33" s="17" t="n"/>
      <c r="Q33" s="17" t="n"/>
      <c r="R33" s="17" t="n"/>
      <c r="S33" s="17" t="n"/>
      <c r="T33" s="21">
        <f>IF(S33="","",IFERROR(INDEX(Carreras!$D$2:$D$152,MATCH(S33,Carreras!$A$2:$A$152,0)),"En Umbral"))</f>
        <v/>
      </c>
      <c r="U33" s="18" t="n"/>
      <c r="V33" s="18" t="n"/>
      <c r="W33" s="18" t="n"/>
      <c r="X33" s="17" t="n"/>
      <c r="Y33" s="22" t="n"/>
      <c r="Z33" s="17" t="n"/>
      <c r="AA33" s="17" t="n"/>
    </row>
    <row r="34">
      <c r="A34" s="17" t="n"/>
      <c r="B34" s="17" t="n"/>
      <c r="C34" s="18" t="n"/>
      <c r="D34" s="19" t="n"/>
      <c r="E34" s="17" t="n"/>
      <c r="F34" s="17" t="n"/>
      <c r="G34" s="17" t="n"/>
      <c r="H34" s="17" t="n"/>
      <c r="I34" s="17" t="n"/>
      <c r="J34" s="17" t="n"/>
      <c r="K34" s="17" t="n"/>
      <c r="L34" s="20" t="n"/>
      <c r="M34" s="18" t="n"/>
      <c r="N34" s="17" t="n"/>
      <c r="O34" s="18" t="n"/>
      <c r="P34" s="17" t="n"/>
      <c r="Q34" s="17" t="n"/>
      <c r="R34" s="17" t="n"/>
      <c r="S34" s="17" t="n"/>
      <c r="T34" s="21">
        <f>IF(S34="","",IFERROR(INDEX(Carreras!$D$2:$D$152,MATCH(S34,Carreras!$A$2:$A$152,0)),"En Umbral"))</f>
        <v/>
      </c>
      <c r="U34" s="18" t="n"/>
      <c r="V34" s="18" t="n"/>
      <c r="W34" s="18" t="n"/>
      <c r="X34" s="17" t="n"/>
      <c r="Y34" s="22" t="n"/>
      <c r="Z34" s="17" t="n"/>
      <c r="AA34" s="17" t="n"/>
    </row>
    <row r="35">
      <c r="A35" s="17" t="n"/>
      <c r="B35" s="17" t="n"/>
      <c r="C35" s="18" t="n"/>
      <c r="D35" s="19" t="n"/>
      <c r="E35" s="17" t="n"/>
      <c r="F35" s="17" t="n"/>
      <c r="G35" s="17" t="n"/>
      <c r="H35" s="17" t="n"/>
      <c r="I35" s="17" t="n"/>
      <c r="J35" s="17" t="n"/>
      <c r="K35" s="17" t="n"/>
      <c r="L35" s="20" t="n"/>
      <c r="M35" s="18" t="n"/>
      <c r="N35" s="17" t="n"/>
      <c r="O35" s="18" t="n"/>
      <c r="P35" s="17" t="n"/>
      <c r="Q35" s="17" t="n"/>
      <c r="R35" s="17" t="n"/>
      <c r="S35" s="17" t="n"/>
      <c r="T35" s="21">
        <f>IF(S35="","",IFERROR(INDEX(Carreras!$D$2:$D$152,MATCH(S35,Carreras!$A$2:$A$152,0)),"En Umbral"))</f>
        <v/>
      </c>
      <c r="U35" s="18" t="n"/>
      <c r="V35" s="18" t="n"/>
      <c r="W35" s="18" t="n"/>
      <c r="X35" s="17" t="n"/>
      <c r="Y35" s="22" t="n"/>
      <c r="Z35" s="17" t="n"/>
      <c r="AA35" s="17" t="n"/>
    </row>
    <row r="36">
      <c r="A36" s="17" t="n"/>
      <c r="B36" s="17" t="n"/>
      <c r="C36" s="18" t="n"/>
      <c r="D36" s="19" t="n"/>
      <c r="E36" s="17" t="n"/>
      <c r="F36" s="17" t="n"/>
      <c r="G36" s="17" t="n"/>
      <c r="H36" s="17" t="n"/>
      <c r="I36" s="17" t="n"/>
      <c r="J36" s="17" t="n"/>
      <c r="K36" s="17" t="n"/>
      <c r="L36" s="20" t="n"/>
      <c r="M36" s="18" t="n"/>
      <c r="N36" s="17" t="n"/>
      <c r="O36" s="18" t="n"/>
      <c r="P36" s="17" t="n"/>
      <c r="Q36" s="17" t="n"/>
      <c r="R36" s="17" t="n"/>
      <c r="S36" s="17" t="n"/>
      <c r="T36" s="21">
        <f>IF(S36="","",IFERROR(INDEX(Carreras!$D$2:$D$152,MATCH(S36,Carreras!$A$2:$A$152,0)),"En Umbral"))</f>
        <v/>
      </c>
      <c r="U36" s="18" t="n"/>
      <c r="V36" s="18" t="n"/>
      <c r="W36" s="18" t="n"/>
      <c r="X36" s="17" t="n"/>
      <c r="Y36" s="22" t="n"/>
      <c r="Z36" s="17" t="n"/>
      <c r="AA36" s="17" t="n"/>
    </row>
    <row r="37">
      <c r="A37" s="17" t="n"/>
      <c r="B37" s="17" t="n"/>
      <c r="C37" s="18" t="n"/>
      <c r="D37" s="19" t="n"/>
      <c r="E37" s="17" t="n"/>
      <c r="F37" s="17" t="n"/>
      <c r="G37" s="17" t="n"/>
      <c r="H37" s="17" t="n"/>
      <c r="I37" s="17" t="n"/>
      <c r="J37" s="17" t="n"/>
      <c r="K37" s="17" t="n"/>
      <c r="L37" s="20" t="n"/>
      <c r="M37" s="18" t="n"/>
      <c r="N37" s="17" t="n"/>
      <c r="O37" s="18" t="n"/>
      <c r="P37" s="17" t="n"/>
      <c r="Q37" s="17" t="n"/>
      <c r="R37" s="17" t="n"/>
      <c r="S37" s="17" t="n"/>
      <c r="T37" s="21">
        <f>IF(S37="","",IFERROR(INDEX(Carreras!$D$2:$D$152,MATCH(S37,Carreras!$A$2:$A$152,0)),"En Umbral"))</f>
        <v/>
      </c>
      <c r="U37" s="18" t="n"/>
      <c r="V37" s="18" t="n"/>
      <c r="W37" s="18" t="n"/>
      <c r="X37" s="17" t="n"/>
      <c r="Y37" s="22" t="n"/>
      <c r="Z37" s="17" t="n"/>
      <c r="AA37" s="17" t="n"/>
    </row>
    <row r="38">
      <c r="A38" s="17" t="n"/>
      <c r="B38" s="17" t="n"/>
      <c r="C38" s="18" t="n"/>
      <c r="D38" s="19" t="n"/>
      <c r="E38" s="17" t="n"/>
      <c r="F38" s="17" t="n"/>
      <c r="G38" s="17" t="n"/>
      <c r="H38" s="17" t="n"/>
      <c r="I38" s="17" t="n"/>
      <c r="J38" s="17" t="n"/>
      <c r="K38" s="17" t="n"/>
      <c r="L38" s="20" t="n"/>
      <c r="M38" s="18" t="n"/>
      <c r="N38" s="17" t="n"/>
      <c r="O38" s="18" t="n"/>
      <c r="P38" s="17" t="n"/>
      <c r="Q38" s="17" t="n"/>
      <c r="R38" s="17" t="n"/>
      <c r="S38" s="17" t="n"/>
      <c r="T38" s="21">
        <f>IF(S38="","",IFERROR(INDEX(Carreras!$D$2:$D$152,MATCH(S38,Carreras!$A$2:$A$152,0)),"En Umbral"))</f>
        <v/>
      </c>
      <c r="U38" s="18" t="n"/>
      <c r="V38" s="18" t="n"/>
      <c r="W38" s="18" t="n"/>
      <c r="X38" s="17" t="n"/>
      <c r="Y38" s="22" t="n"/>
      <c r="Z38" s="17" t="n"/>
      <c r="AA38" s="17" t="n"/>
    </row>
    <row r="39">
      <c r="A39" s="17" t="n"/>
      <c r="B39" s="17" t="n"/>
      <c r="C39" s="18" t="n"/>
      <c r="D39" s="19" t="n"/>
      <c r="E39" s="17" t="n"/>
      <c r="F39" s="17" t="n"/>
      <c r="G39" s="17" t="n"/>
      <c r="H39" s="17" t="n"/>
      <c r="I39" s="17" t="n"/>
      <c r="J39" s="17" t="n"/>
      <c r="K39" s="17" t="n"/>
      <c r="L39" s="20" t="n"/>
      <c r="M39" s="18" t="n"/>
      <c r="N39" s="17" t="n"/>
      <c r="O39" s="18" t="n"/>
      <c r="P39" s="17" t="n"/>
      <c r="Q39" s="17" t="n"/>
      <c r="R39" s="17" t="n"/>
      <c r="S39" s="17" t="n"/>
      <c r="T39" s="21">
        <f>IF(S39="","",IFERROR(INDEX(Carreras!$D$2:$D$152,MATCH(S39,Carreras!$A$2:$A$152,0)),"En Umbral"))</f>
        <v/>
      </c>
      <c r="U39" s="18" t="n"/>
      <c r="V39" s="18" t="n"/>
      <c r="W39" s="18" t="n"/>
      <c r="X39" s="17" t="n"/>
      <c r="Y39" s="22" t="n"/>
      <c r="Z39" s="17" t="n"/>
      <c r="AA39" s="17" t="n"/>
    </row>
    <row r="40">
      <c r="A40" s="17" t="n"/>
      <c r="B40" s="17" t="n"/>
      <c r="C40" s="18" t="n"/>
      <c r="D40" s="19" t="n"/>
      <c r="E40" s="17" t="n"/>
      <c r="F40" s="17" t="n"/>
      <c r="G40" s="17" t="n"/>
      <c r="H40" s="17" t="n"/>
      <c r="I40" s="17" t="n"/>
      <c r="J40" s="17" t="n"/>
      <c r="K40" s="17" t="n"/>
      <c r="L40" s="20" t="n"/>
      <c r="M40" s="18" t="n"/>
      <c r="N40" s="17" t="n"/>
      <c r="O40" s="18" t="n"/>
      <c r="P40" s="17" t="n"/>
      <c r="Q40" s="17" t="n"/>
      <c r="R40" s="17" t="n"/>
      <c r="S40" s="17" t="n"/>
      <c r="T40" s="21">
        <f>IF(S40="","",IFERROR(INDEX(Carreras!$D$2:$D$152,MATCH(S40,Carreras!$A$2:$A$152,0)),"En Umbral"))</f>
        <v/>
      </c>
      <c r="U40" s="18" t="n"/>
      <c r="V40" s="18" t="n"/>
      <c r="W40" s="18" t="n"/>
      <c r="X40" s="17" t="n"/>
      <c r="Y40" s="22" t="n"/>
      <c r="Z40" s="17" t="n"/>
      <c r="AA40" s="17" t="n"/>
    </row>
    <row r="41">
      <c r="A41" s="17" t="n"/>
      <c r="B41" s="17" t="n"/>
      <c r="C41" s="18" t="n"/>
      <c r="D41" s="19" t="n"/>
      <c r="E41" s="17" t="n"/>
      <c r="F41" s="17" t="n"/>
      <c r="G41" s="17" t="n"/>
      <c r="H41" s="17" t="n"/>
      <c r="I41" s="17" t="n"/>
      <c r="J41" s="17" t="n"/>
      <c r="K41" s="17" t="n"/>
      <c r="L41" s="20" t="n"/>
      <c r="M41" s="18" t="n"/>
      <c r="N41" s="17" t="n"/>
      <c r="O41" s="18" t="n"/>
      <c r="P41" s="17" t="n"/>
      <c r="Q41" s="17" t="n"/>
      <c r="R41" s="17" t="n"/>
      <c r="S41" s="17" t="n"/>
      <c r="T41" s="21">
        <f>IF(S41="","",IFERROR(INDEX(Carreras!$D$2:$D$152,MATCH(S41,Carreras!$A$2:$A$152,0)),"En Umbral"))</f>
        <v/>
      </c>
      <c r="U41" s="18" t="n"/>
      <c r="V41" s="18" t="n"/>
      <c r="W41" s="18" t="n"/>
      <c r="X41" s="17" t="n"/>
      <c r="Y41" s="22" t="n"/>
      <c r="Z41" s="17" t="n"/>
      <c r="AA41" s="17" t="n"/>
    </row>
    <row r="42">
      <c r="A42" s="17" t="n"/>
      <c r="B42" s="17" t="n"/>
      <c r="C42" s="18" t="n"/>
      <c r="D42" s="19" t="n"/>
      <c r="E42" s="17" t="n"/>
      <c r="F42" s="17" t="n"/>
      <c r="G42" s="17" t="n"/>
      <c r="H42" s="17" t="n"/>
      <c r="I42" s="17" t="n"/>
      <c r="J42" s="17" t="n"/>
      <c r="K42" s="17" t="n"/>
      <c r="L42" s="20" t="n"/>
      <c r="M42" s="18" t="n"/>
      <c r="N42" s="17" t="n"/>
      <c r="O42" s="18" t="n"/>
      <c r="P42" s="17" t="n"/>
      <c r="Q42" s="17" t="n"/>
      <c r="R42" s="17" t="n"/>
      <c r="S42" s="17" t="n"/>
      <c r="T42" s="21">
        <f>IF(S42="","",IFERROR(INDEX(Carreras!$D$2:$D$152,MATCH(S42,Carreras!$A$2:$A$152,0)),"En Umbral"))</f>
        <v/>
      </c>
      <c r="U42" s="18" t="n"/>
      <c r="V42" s="18" t="n"/>
      <c r="W42" s="18" t="n"/>
      <c r="X42" s="17" t="n"/>
      <c r="Y42" s="22" t="n"/>
      <c r="Z42" s="17" t="n"/>
      <c r="AA42" s="17" t="n"/>
    </row>
    <row r="43">
      <c r="A43" s="17" t="n"/>
      <c r="B43" s="17" t="n"/>
      <c r="C43" s="18" t="n"/>
      <c r="D43" s="19" t="n"/>
      <c r="E43" s="17" t="n"/>
      <c r="F43" s="17" t="n"/>
      <c r="G43" s="17" t="n"/>
      <c r="H43" s="17" t="n"/>
      <c r="I43" s="17" t="n"/>
      <c r="J43" s="17" t="n"/>
      <c r="K43" s="17" t="n"/>
      <c r="L43" s="20" t="n"/>
      <c r="M43" s="18" t="n"/>
      <c r="N43" s="17" t="n"/>
      <c r="O43" s="18" t="n"/>
      <c r="P43" s="17" t="n"/>
      <c r="Q43" s="17" t="n"/>
      <c r="R43" s="17" t="n"/>
      <c r="S43" s="17" t="n"/>
      <c r="T43" s="21">
        <f>IF(S43="","",IFERROR(INDEX(Carreras!$D$2:$D$152,MATCH(S43,Carreras!$A$2:$A$152,0)),"En Umbral"))</f>
        <v/>
      </c>
      <c r="U43" s="18" t="n"/>
      <c r="V43" s="18" t="n"/>
      <c r="W43" s="18" t="n"/>
      <c r="X43" s="17" t="n"/>
      <c r="Y43" s="22" t="n"/>
      <c r="Z43" s="17" t="n"/>
      <c r="AA43" s="17" t="n"/>
    </row>
    <row r="44">
      <c r="A44" s="17" t="n"/>
      <c r="B44" s="17" t="n"/>
      <c r="C44" s="18" t="n"/>
      <c r="D44" s="19" t="n"/>
      <c r="E44" s="17" t="n"/>
      <c r="F44" s="17" t="n"/>
      <c r="G44" s="17" t="n"/>
      <c r="H44" s="17" t="n"/>
      <c r="I44" s="17" t="n"/>
      <c r="J44" s="17" t="n"/>
      <c r="K44" s="17" t="n"/>
      <c r="L44" s="20" t="n"/>
      <c r="M44" s="18" t="n"/>
      <c r="N44" s="17" t="n"/>
      <c r="O44" s="18" t="n"/>
      <c r="P44" s="17" t="n"/>
      <c r="Q44" s="17" t="n"/>
      <c r="R44" s="17" t="n"/>
      <c r="S44" s="17" t="n"/>
      <c r="T44" s="21">
        <f>IF(S44="","",IFERROR(INDEX(Carreras!$D$2:$D$152,MATCH(S44,Carreras!$A$2:$A$152,0)),"En Umbral"))</f>
        <v/>
      </c>
      <c r="U44" s="18" t="n"/>
      <c r="V44" s="18" t="n"/>
      <c r="W44" s="18" t="n"/>
      <c r="X44" s="17" t="n"/>
      <c r="Y44" s="22" t="n"/>
      <c r="Z44" s="17" t="n"/>
      <c r="AA44" s="17" t="n"/>
    </row>
    <row r="45">
      <c r="A45" s="17" t="n"/>
      <c r="B45" s="17" t="n"/>
      <c r="C45" s="18" t="n"/>
      <c r="D45" s="19" t="n"/>
      <c r="E45" s="17" t="n"/>
      <c r="F45" s="17" t="n"/>
      <c r="G45" s="17" t="n"/>
      <c r="H45" s="17" t="n"/>
      <c r="I45" s="17" t="n"/>
      <c r="J45" s="17" t="n"/>
      <c r="K45" s="17" t="n"/>
      <c r="L45" s="20" t="n"/>
      <c r="M45" s="18" t="n"/>
      <c r="N45" s="17" t="n"/>
      <c r="O45" s="18" t="n"/>
      <c r="P45" s="17" t="n"/>
      <c r="Q45" s="17" t="n"/>
      <c r="R45" s="17" t="n"/>
      <c r="S45" s="17" t="n"/>
      <c r="T45" s="21">
        <f>IF(S45="","",IFERROR(INDEX(Carreras!$D$2:$D$152,MATCH(S45,Carreras!$A$2:$A$152,0)),"En Umbral"))</f>
        <v/>
      </c>
      <c r="U45" s="18" t="n"/>
      <c r="V45" s="18" t="n"/>
      <c r="W45" s="18" t="n"/>
      <c r="X45" s="17" t="n"/>
      <c r="Y45" s="22" t="n"/>
      <c r="Z45" s="17" t="n"/>
      <c r="AA45" s="17" t="n"/>
    </row>
    <row r="46">
      <c r="A46" s="17" t="n"/>
      <c r="B46" s="17" t="n"/>
      <c r="C46" s="18" t="n"/>
      <c r="D46" s="19" t="n"/>
      <c r="E46" s="17" t="n"/>
      <c r="F46" s="17" t="n"/>
      <c r="G46" s="17" t="n"/>
      <c r="H46" s="17" t="n"/>
      <c r="I46" s="17" t="n"/>
      <c r="J46" s="17" t="n"/>
      <c r="K46" s="17" t="n"/>
      <c r="L46" s="20" t="n"/>
      <c r="M46" s="18" t="n"/>
      <c r="N46" s="17" t="n"/>
      <c r="O46" s="18" t="n"/>
      <c r="P46" s="17" t="n"/>
      <c r="Q46" s="17" t="n"/>
      <c r="R46" s="17" t="n"/>
      <c r="S46" s="17" t="n"/>
      <c r="T46" s="21">
        <f>IF(S46="","",IFERROR(INDEX(Carreras!$D$2:$D$152,MATCH(S46,Carreras!$A$2:$A$152,0)),"En Umbral"))</f>
        <v/>
      </c>
      <c r="U46" s="18" t="n"/>
      <c r="V46" s="18" t="n"/>
      <c r="W46" s="18" t="n"/>
      <c r="X46" s="17" t="n"/>
      <c r="Y46" s="22" t="n"/>
      <c r="Z46" s="17" t="n"/>
      <c r="AA46" s="17" t="n"/>
    </row>
    <row r="47">
      <c r="A47" s="17" t="n"/>
      <c r="B47" s="17" t="n"/>
      <c r="C47" s="18" t="n"/>
      <c r="D47" s="19" t="n"/>
      <c r="E47" s="17" t="n"/>
      <c r="F47" s="17" t="n"/>
      <c r="G47" s="17" t="n"/>
      <c r="H47" s="17" t="n"/>
      <c r="I47" s="17" t="n"/>
      <c r="J47" s="17" t="n"/>
      <c r="K47" s="17" t="n"/>
      <c r="L47" s="20" t="n"/>
      <c r="M47" s="18" t="n"/>
      <c r="N47" s="17" t="n"/>
      <c r="O47" s="18" t="n"/>
      <c r="P47" s="17" t="n"/>
      <c r="Q47" s="17" t="n"/>
      <c r="R47" s="17" t="n"/>
      <c r="S47" s="17" t="n"/>
      <c r="T47" s="21">
        <f>IF(S47="","",IFERROR(INDEX(Carreras!$D$2:$D$152,MATCH(S47,Carreras!$A$2:$A$152,0)),"En Umbral"))</f>
        <v/>
      </c>
      <c r="U47" s="18" t="n"/>
      <c r="V47" s="18" t="n"/>
      <c r="W47" s="18" t="n"/>
      <c r="X47" s="17" t="n"/>
      <c r="Y47" s="22" t="n"/>
      <c r="Z47" s="17" t="n"/>
      <c r="AA47" s="17" t="n"/>
    </row>
    <row r="48">
      <c r="A48" s="17" t="n"/>
      <c r="B48" s="17" t="n"/>
      <c r="C48" s="18" t="n"/>
      <c r="D48" s="19" t="n"/>
      <c r="E48" s="17" t="n"/>
      <c r="F48" s="17" t="n"/>
      <c r="G48" s="17" t="n"/>
      <c r="H48" s="17" t="n"/>
      <c r="I48" s="17" t="n"/>
      <c r="J48" s="17" t="n"/>
      <c r="K48" s="17" t="n"/>
      <c r="L48" s="20" t="n"/>
      <c r="M48" s="18" t="n"/>
      <c r="N48" s="17" t="n"/>
      <c r="O48" s="18" t="n"/>
      <c r="P48" s="17" t="n"/>
      <c r="Q48" s="17" t="n"/>
      <c r="R48" s="17" t="n"/>
      <c r="S48" s="17" t="n"/>
      <c r="T48" s="21">
        <f>IF(S48="","",IFERROR(INDEX(Carreras!$D$2:$D$152,MATCH(S48,Carreras!$A$2:$A$152,0)),"En Umbral"))</f>
        <v/>
      </c>
      <c r="U48" s="18" t="n"/>
      <c r="V48" s="18" t="n"/>
      <c r="W48" s="18" t="n"/>
      <c r="X48" s="17" t="n"/>
      <c r="Y48" s="22" t="n"/>
      <c r="Z48" s="17" t="n"/>
      <c r="AA48" s="17" t="n"/>
    </row>
    <row r="49">
      <c r="A49" s="17" t="n"/>
      <c r="B49" s="17" t="n"/>
      <c r="C49" s="18" t="n"/>
      <c r="D49" s="19" t="n"/>
      <c r="E49" s="17" t="n"/>
      <c r="F49" s="17" t="n"/>
      <c r="G49" s="17" t="n"/>
      <c r="H49" s="17" t="n"/>
      <c r="I49" s="17" t="n"/>
      <c r="J49" s="17" t="n"/>
      <c r="K49" s="17" t="n"/>
      <c r="L49" s="20" t="n"/>
      <c r="M49" s="18" t="n"/>
      <c r="N49" s="17" t="n"/>
      <c r="O49" s="18" t="n"/>
      <c r="P49" s="17" t="n"/>
      <c r="Q49" s="17" t="n"/>
      <c r="R49" s="17" t="n"/>
      <c r="S49" s="17" t="n"/>
      <c r="T49" s="21">
        <f>IF(S49="","",IFERROR(INDEX(Carreras!$D$2:$D$152,MATCH(S49,Carreras!$A$2:$A$152,0)),"En Umbral"))</f>
        <v/>
      </c>
      <c r="U49" s="18" t="n"/>
      <c r="V49" s="18" t="n"/>
      <c r="W49" s="18" t="n"/>
      <c r="X49" s="17" t="n"/>
      <c r="Y49" s="22" t="n"/>
      <c r="Z49" s="17" t="n"/>
      <c r="AA49" s="17" t="n"/>
    </row>
    <row r="50">
      <c r="A50" s="17" t="n"/>
      <c r="B50" s="17" t="n"/>
      <c r="C50" s="18" t="n"/>
      <c r="D50" s="19" t="n"/>
      <c r="E50" s="17" t="n"/>
      <c r="F50" s="17" t="n"/>
      <c r="G50" s="17" t="n"/>
      <c r="H50" s="17" t="n"/>
      <c r="I50" s="17" t="n"/>
      <c r="J50" s="17" t="n"/>
      <c r="K50" s="17" t="n"/>
      <c r="L50" s="20" t="n"/>
      <c r="M50" s="18" t="n"/>
      <c r="N50" s="17" t="n"/>
      <c r="O50" s="18" t="n"/>
      <c r="P50" s="17" t="n"/>
      <c r="Q50" s="17" t="n"/>
      <c r="R50" s="17" t="n"/>
      <c r="S50" s="17" t="n"/>
      <c r="T50" s="21">
        <f>IF(S50="","",IFERROR(INDEX(Carreras!$D$2:$D$152,MATCH(S50,Carreras!$A$2:$A$152,0)),"En Umbral"))</f>
        <v/>
      </c>
      <c r="U50" s="18" t="n"/>
      <c r="V50" s="18" t="n"/>
      <c r="W50" s="18" t="n"/>
      <c r="X50" s="17" t="n"/>
      <c r="Y50" s="22" t="n"/>
      <c r="Z50" s="17" t="n"/>
      <c r="AA50" s="17" t="n"/>
    </row>
    <row r="51">
      <c r="A51" s="17" t="n"/>
      <c r="B51" s="17" t="n"/>
      <c r="C51" s="18" t="n"/>
      <c r="D51" s="19" t="n"/>
      <c r="E51" s="17" t="n"/>
      <c r="F51" s="17" t="n"/>
      <c r="G51" s="17" t="n"/>
      <c r="H51" s="17" t="n"/>
      <c r="I51" s="17" t="n"/>
      <c r="J51" s="17" t="n"/>
      <c r="K51" s="17" t="n"/>
      <c r="L51" s="20" t="n"/>
      <c r="M51" s="18" t="n"/>
      <c r="N51" s="17" t="n"/>
      <c r="O51" s="18" t="n"/>
      <c r="P51" s="17" t="n"/>
      <c r="Q51" s="17" t="n"/>
      <c r="R51" s="17" t="n"/>
      <c r="S51" s="17" t="n"/>
      <c r="T51" s="21">
        <f>IF(S51="","",IFERROR(INDEX(Carreras!$D$2:$D$152,MATCH(S51,Carreras!$A$2:$A$152,0)),"En Umbral"))</f>
        <v/>
      </c>
      <c r="U51" s="18" t="n"/>
      <c r="V51" s="18" t="n"/>
      <c r="W51" s="18" t="n"/>
      <c r="X51" s="17" t="n"/>
      <c r="Y51" s="22" t="n"/>
      <c r="Z51" s="17" t="n"/>
      <c r="AA51" s="17" t="n"/>
    </row>
    <row r="52">
      <c r="A52" s="17" t="n"/>
      <c r="B52" s="17" t="n"/>
      <c r="C52" s="18" t="n"/>
      <c r="D52" s="19" t="n"/>
      <c r="E52" s="17" t="n"/>
      <c r="F52" s="17" t="n"/>
      <c r="G52" s="17" t="n"/>
      <c r="H52" s="17" t="n"/>
      <c r="I52" s="17" t="n"/>
      <c r="J52" s="17" t="n"/>
      <c r="K52" s="17" t="n"/>
      <c r="L52" s="20" t="n"/>
      <c r="M52" s="18" t="n"/>
      <c r="N52" s="17" t="n"/>
      <c r="O52" s="18" t="n"/>
      <c r="P52" s="17" t="n"/>
      <c r="Q52" s="17" t="n"/>
      <c r="R52" s="17" t="n"/>
      <c r="S52" s="17" t="n"/>
      <c r="T52" s="21">
        <f>IF(S52="","",IFERROR(INDEX(Carreras!$D$2:$D$152,MATCH(S52,Carreras!$A$2:$A$152,0)),"En Umbral"))</f>
        <v/>
      </c>
      <c r="U52" s="18" t="n"/>
      <c r="V52" s="18" t="n"/>
      <c r="W52" s="18" t="n"/>
      <c r="X52" s="17" t="n"/>
      <c r="Y52" s="22" t="n"/>
      <c r="Z52" s="17" t="n"/>
      <c r="AA52" s="17" t="n"/>
    </row>
    <row r="53">
      <c r="A53" s="17" t="n"/>
      <c r="B53" s="17" t="n"/>
      <c r="C53" s="18" t="n"/>
      <c r="D53" s="19" t="n"/>
      <c r="E53" s="17" t="n"/>
      <c r="F53" s="17" t="n"/>
      <c r="G53" s="17" t="n"/>
      <c r="H53" s="17" t="n"/>
      <c r="I53" s="17" t="n"/>
      <c r="J53" s="17" t="n"/>
      <c r="K53" s="17" t="n"/>
      <c r="L53" s="20" t="n"/>
      <c r="M53" s="18" t="n"/>
      <c r="N53" s="17" t="n"/>
      <c r="O53" s="18" t="n"/>
      <c r="P53" s="17" t="n"/>
      <c r="Q53" s="17" t="n"/>
      <c r="R53" s="17" t="n"/>
      <c r="S53" s="17" t="n"/>
      <c r="T53" s="21">
        <f>IF(S53="","",IFERROR(INDEX(Carreras!$D$2:$D$152,MATCH(S53,Carreras!$A$2:$A$152,0)),"En Umbral"))</f>
        <v/>
      </c>
      <c r="U53" s="18" t="n"/>
      <c r="V53" s="18" t="n"/>
      <c r="W53" s="18" t="n"/>
      <c r="X53" s="17" t="n"/>
      <c r="Y53" s="22" t="n"/>
      <c r="Z53" s="17" t="n"/>
      <c r="AA53" s="17" t="n"/>
    </row>
    <row r="54">
      <c r="A54" s="17" t="n"/>
      <c r="B54" s="17" t="n"/>
      <c r="C54" s="18" t="n"/>
      <c r="D54" s="19" t="n"/>
      <c r="E54" s="17" t="n"/>
      <c r="F54" s="17" t="n"/>
      <c r="G54" s="17" t="n"/>
      <c r="H54" s="17" t="n"/>
      <c r="I54" s="17" t="n"/>
      <c r="J54" s="17" t="n"/>
      <c r="K54" s="17" t="n"/>
      <c r="L54" s="20" t="n"/>
      <c r="M54" s="18" t="n"/>
      <c r="N54" s="17" t="n"/>
      <c r="O54" s="18" t="n"/>
      <c r="P54" s="17" t="n"/>
      <c r="Q54" s="17" t="n"/>
      <c r="R54" s="17" t="n"/>
      <c r="S54" s="17" t="n"/>
      <c r="T54" s="21">
        <f>IF(S54="","",IFERROR(INDEX(Carreras!$D$2:$D$152,MATCH(S54,Carreras!$A$2:$A$152,0)),"En Umbral"))</f>
        <v/>
      </c>
      <c r="U54" s="18" t="n"/>
      <c r="V54" s="18" t="n"/>
      <c r="W54" s="18" t="n"/>
      <c r="X54" s="17" t="n"/>
      <c r="Y54" s="22" t="n"/>
      <c r="Z54" s="17" t="n"/>
      <c r="AA54" s="17" t="n"/>
    </row>
    <row r="55">
      <c r="A55" s="17" t="n"/>
      <c r="B55" s="17" t="n"/>
      <c r="C55" s="18" t="n"/>
      <c r="D55" s="19" t="n"/>
      <c r="E55" s="17" t="n"/>
      <c r="F55" s="17" t="n"/>
      <c r="G55" s="17" t="n"/>
      <c r="H55" s="17" t="n"/>
      <c r="I55" s="17" t="n"/>
      <c r="J55" s="17" t="n"/>
      <c r="K55" s="17" t="n"/>
      <c r="L55" s="20" t="n"/>
      <c r="M55" s="18" t="n"/>
      <c r="N55" s="17" t="n"/>
      <c r="O55" s="18" t="n"/>
      <c r="P55" s="17" t="n"/>
      <c r="Q55" s="17" t="n"/>
      <c r="R55" s="17" t="n"/>
      <c r="S55" s="17" t="n"/>
      <c r="T55" s="21">
        <f>IF(S55="","",IFERROR(INDEX(Carreras!$D$2:$D$152,MATCH(S55,Carreras!$A$2:$A$152,0)),"En Umbral"))</f>
        <v/>
      </c>
      <c r="U55" s="18" t="n"/>
      <c r="V55" s="18" t="n"/>
      <c r="W55" s="18" t="n"/>
      <c r="X55" s="17" t="n"/>
      <c r="Y55" s="22" t="n"/>
      <c r="Z55" s="17" t="n"/>
      <c r="AA55" s="17" t="n"/>
    </row>
    <row r="56">
      <c r="A56" s="17" t="n"/>
      <c r="B56" s="17" t="n"/>
      <c r="C56" s="18" t="n"/>
      <c r="D56" s="19" t="n"/>
      <c r="E56" s="17" t="n"/>
      <c r="F56" s="17" t="n"/>
      <c r="G56" s="17" t="n"/>
      <c r="H56" s="17" t="n"/>
      <c r="I56" s="17" t="n"/>
      <c r="J56" s="17" t="n"/>
      <c r="K56" s="17" t="n"/>
      <c r="L56" s="20" t="n"/>
      <c r="M56" s="18" t="n"/>
      <c r="N56" s="17" t="n"/>
      <c r="O56" s="18" t="n"/>
      <c r="P56" s="17" t="n"/>
      <c r="Q56" s="17" t="n"/>
      <c r="R56" s="17" t="n"/>
      <c r="S56" s="17" t="n"/>
      <c r="T56" s="21">
        <f>IF(S56="","",IFERROR(INDEX(Carreras!$D$2:$D$152,MATCH(S56,Carreras!$A$2:$A$152,0)),"En Umbral"))</f>
        <v/>
      </c>
      <c r="U56" s="18" t="n"/>
      <c r="V56" s="18" t="n"/>
      <c r="W56" s="18" t="n"/>
      <c r="X56" s="17" t="n"/>
      <c r="Y56" s="22" t="n"/>
      <c r="Z56" s="17" t="n"/>
      <c r="AA56" s="17" t="n"/>
    </row>
    <row r="57">
      <c r="A57" s="17" t="n"/>
      <c r="B57" s="17" t="n"/>
      <c r="C57" s="18" t="n"/>
      <c r="D57" s="19" t="n"/>
      <c r="E57" s="17" t="n"/>
      <c r="F57" s="17" t="n"/>
      <c r="G57" s="17" t="n"/>
      <c r="H57" s="17" t="n"/>
      <c r="I57" s="17" t="n"/>
      <c r="J57" s="17" t="n"/>
      <c r="K57" s="17" t="n"/>
      <c r="L57" s="20" t="n"/>
      <c r="M57" s="18" t="n"/>
      <c r="N57" s="17" t="n"/>
      <c r="O57" s="18" t="n"/>
      <c r="P57" s="17" t="n"/>
      <c r="Q57" s="17" t="n"/>
      <c r="R57" s="17" t="n"/>
      <c r="S57" s="17" t="n"/>
      <c r="T57" s="21">
        <f>IF(S57="","",IFERROR(INDEX(Carreras!$D$2:$D$152,MATCH(S57,Carreras!$A$2:$A$152,0)),"En Umbral"))</f>
        <v/>
      </c>
      <c r="U57" s="18" t="n"/>
      <c r="V57" s="18" t="n"/>
      <c r="W57" s="18" t="n"/>
      <c r="X57" s="17" t="n"/>
      <c r="Y57" s="22" t="n"/>
      <c r="Z57" s="17" t="n"/>
      <c r="AA57" s="17" t="n"/>
    </row>
    <row r="58">
      <c r="A58" s="17" t="n"/>
      <c r="B58" s="17" t="n"/>
      <c r="C58" s="18" t="n"/>
      <c r="D58" s="19" t="n"/>
      <c r="E58" s="17" t="n"/>
      <c r="F58" s="17" t="n"/>
      <c r="G58" s="17" t="n"/>
      <c r="H58" s="17" t="n"/>
      <c r="I58" s="17" t="n"/>
      <c r="J58" s="17" t="n"/>
      <c r="K58" s="17" t="n"/>
      <c r="L58" s="20" t="n"/>
      <c r="M58" s="18" t="n"/>
      <c r="N58" s="17" t="n"/>
      <c r="O58" s="18" t="n"/>
      <c r="P58" s="17" t="n"/>
      <c r="Q58" s="17" t="n"/>
      <c r="R58" s="17" t="n"/>
      <c r="S58" s="17" t="n"/>
      <c r="T58" s="21">
        <f>IF(S58="","",IFERROR(INDEX(Carreras!$D$2:$D$152,MATCH(S58,Carreras!$A$2:$A$152,0)),"En Umbral"))</f>
        <v/>
      </c>
      <c r="U58" s="18" t="n"/>
      <c r="V58" s="18" t="n"/>
      <c r="W58" s="18" t="n"/>
      <c r="X58" s="17" t="n"/>
      <c r="Y58" s="22" t="n"/>
      <c r="Z58" s="17" t="n"/>
      <c r="AA58" s="17" t="n"/>
    </row>
    <row r="59">
      <c r="A59" s="17" t="n"/>
      <c r="B59" s="17" t="n"/>
      <c r="C59" s="18" t="n"/>
      <c r="D59" s="19" t="n"/>
      <c r="E59" s="17" t="n"/>
      <c r="F59" s="17" t="n"/>
      <c r="G59" s="17" t="n"/>
      <c r="H59" s="17" t="n"/>
      <c r="I59" s="17" t="n"/>
      <c r="J59" s="17" t="n"/>
      <c r="K59" s="17" t="n"/>
      <c r="L59" s="20" t="n"/>
      <c r="M59" s="18" t="n"/>
      <c r="N59" s="17" t="n"/>
      <c r="O59" s="18" t="n"/>
      <c r="P59" s="17" t="n"/>
      <c r="Q59" s="17" t="n"/>
      <c r="R59" s="17" t="n"/>
      <c r="S59" s="17" t="n"/>
      <c r="T59" s="21">
        <f>IF(S59="","",IFERROR(INDEX(Carreras!$D$2:$D$152,MATCH(S59,Carreras!$A$2:$A$152,0)),"En Umbral"))</f>
        <v/>
      </c>
      <c r="U59" s="18" t="n"/>
      <c r="V59" s="18" t="n"/>
      <c r="W59" s="18" t="n"/>
      <c r="X59" s="17" t="n"/>
      <c r="Y59" s="22" t="n"/>
      <c r="Z59" s="17" t="n"/>
      <c r="AA59" s="17" t="n"/>
    </row>
    <row r="60">
      <c r="A60" s="17" t="n"/>
      <c r="B60" s="17" t="n"/>
      <c r="C60" s="18" t="n"/>
      <c r="D60" s="19" t="n"/>
      <c r="E60" s="17" t="n"/>
      <c r="F60" s="17" t="n"/>
      <c r="G60" s="17" t="n"/>
      <c r="H60" s="17" t="n"/>
      <c r="I60" s="17" t="n"/>
      <c r="J60" s="17" t="n"/>
      <c r="K60" s="17" t="n"/>
      <c r="L60" s="20" t="n"/>
      <c r="M60" s="18" t="n"/>
      <c r="N60" s="17" t="n"/>
      <c r="O60" s="18" t="n"/>
      <c r="P60" s="17" t="n"/>
      <c r="Q60" s="17" t="n"/>
      <c r="R60" s="17" t="n"/>
      <c r="S60" s="17" t="n"/>
      <c r="T60" s="21">
        <f>IF(S60="","",IFERROR(INDEX(Carreras!$D$2:$D$152,MATCH(S60,Carreras!$A$2:$A$152,0)),"En Umbral"))</f>
        <v/>
      </c>
      <c r="U60" s="18" t="n"/>
      <c r="V60" s="18" t="n"/>
      <c r="W60" s="18" t="n"/>
      <c r="X60" s="17" t="n"/>
      <c r="Y60" s="22" t="n"/>
      <c r="Z60" s="17" t="n"/>
      <c r="AA60" s="17" t="n"/>
    </row>
    <row r="61">
      <c r="A61" s="17" t="n"/>
      <c r="B61" s="17" t="n"/>
      <c r="C61" s="18" t="n"/>
      <c r="D61" s="19" t="n"/>
      <c r="E61" s="17" t="n"/>
      <c r="F61" s="17" t="n"/>
      <c r="G61" s="17" t="n"/>
      <c r="H61" s="17" t="n"/>
      <c r="I61" s="17" t="n"/>
      <c r="J61" s="17" t="n"/>
      <c r="K61" s="17" t="n"/>
      <c r="L61" s="20" t="n"/>
      <c r="M61" s="18" t="n"/>
      <c r="N61" s="17" t="n"/>
      <c r="O61" s="18" t="n"/>
      <c r="P61" s="17" t="n"/>
      <c r="Q61" s="17" t="n"/>
      <c r="R61" s="17" t="n"/>
      <c r="S61" s="17" t="n"/>
      <c r="T61" s="21">
        <f>IF(S61="","",IFERROR(INDEX(Carreras!$D$2:$D$152,MATCH(S61,Carreras!$A$2:$A$152,0)),"En Umbral"))</f>
        <v/>
      </c>
      <c r="U61" s="18" t="n"/>
      <c r="V61" s="18" t="n"/>
      <c r="W61" s="18" t="n"/>
      <c r="X61" s="17" t="n"/>
      <c r="Y61" s="22" t="n"/>
      <c r="Z61" s="17" t="n"/>
      <c r="AA61" s="17" t="n"/>
    </row>
    <row r="62">
      <c r="A62" s="17" t="n"/>
      <c r="B62" s="17" t="n"/>
      <c r="C62" s="18" t="n"/>
      <c r="D62" s="19" t="n"/>
      <c r="E62" s="17" t="n"/>
      <c r="F62" s="17" t="n"/>
      <c r="G62" s="17" t="n"/>
      <c r="H62" s="17" t="n"/>
      <c r="I62" s="17" t="n"/>
      <c r="J62" s="17" t="n"/>
      <c r="K62" s="17" t="n"/>
      <c r="L62" s="20" t="n"/>
      <c r="M62" s="18" t="n"/>
      <c r="N62" s="17" t="n"/>
      <c r="O62" s="18" t="n"/>
      <c r="P62" s="17" t="n"/>
      <c r="Q62" s="17" t="n"/>
      <c r="R62" s="17" t="n"/>
      <c r="S62" s="17" t="n"/>
      <c r="T62" s="21">
        <f>IF(S62="","",IFERROR(INDEX(Carreras!$D$2:$D$152,MATCH(S62,Carreras!$A$2:$A$152,0)),"En Umbral"))</f>
        <v/>
      </c>
      <c r="U62" s="18" t="n"/>
      <c r="V62" s="18" t="n"/>
      <c r="W62" s="18" t="n"/>
      <c r="X62" s="17" t="n"/>
      <c r="Y62" s="22" t="n"/>
      <c r="Z62" s="17" t="n"/>
      <c r="AA62" s="17" t="n"/>
    </row>
    <row r="63">
      <c r="A63" s="17" t="n"/>
      <c r="B63" s="17" t="n"/>
      <c r="C63" s="18" t="n"/>
      <c r="D63" s="19" t="n"/>
      <c r="E63" s="17" t="n"/>
      <c r="F63" s="17" t="n"/>
      <c r="G63" s="17" t="n"/>
      <c r="H63" s="17" t="n"/>
      <c r="I63" s="17" t="n"/>
      <c r="J63" s="17" t="n"/>
      <c r="K63" s="17" t="n"/>
      <c r="L63" s="20" t="n"/>
      <c r="M63" s="18" t="n"/>
      <c r="N63" s="17" t="n"/>
      <c r="O63" s="18" t="n"/>
      <c r="P63" s="17" t="n"/>
      <c r="Q63" s="17" t="n"/>
      <c r="R63" s="17" t="n"/>
      <c r="S63" s="17" t="n"/>
      <c r="T63" s="21">
        <f>IF(S63="","",IFERROR(INDEX(Carreras!$D$2:$D$152,MATCH(S63,Carreras!$A$2:$A$152,0)),"En Umbral"))</f>
        <v/>
      </c>
      <c r="U63" s="18" t="n"/>
      <c r="V63" s="18" t="n"/>
      <c r="W63" s="18" t="n"/>
      <c r="X63" s="17" t="n"/>
      <c r="Y63" s="22" t="n"/>
      <c r="Z63" s="17" t="n"/>
      <c r="AA63" s="17" t="n"/>
    </row>
    <row r="64">
      <c r="A64" s="17" t="n"/>
      <c r="B64" s="17" t="n"/>
      <c r="C64" s="18" t="n"/>
      <c r="D64" s="19" t="n"/>
      <c r="E64" s="17" t="n"/>
      <c r="F64" s="17" t="n"/>
      <c r="G64" s="17" t="n"/>
      <c r="H64" s="17" t="n"/>
      <c r="I64" s="17" t="n"/>
      <c r="J64" s="17" t="n"/>
      <c r="K64" s="17" t="n"/>
      <c r="L64" s="20" t="n"/>
      <c r="M64" s="18" t="n"/>
      <c r="N64" s="17" t="n"/>
      <c r="O64" s="18" t="n"/>
      <c r="P64" s="17" t="n"/>
      <c r="Q64" s="17" t="n"/>
      <c r="R64" s="17" t="n"/>
      <c r="S64" s="17" t="n"/>
      <c r="T64" s="21">
        <f>IF(S64="","",IFERROR(INDEX(Carreras!$D$2:$D$152,MATCH(S64,Carreras!$A$2:$A$152,0)),"En Umbral"))</f>
        <v/>
      </c>
      <c r="U64" s="18" t="n"/>
      <c r="V64" s="18" t="n"/>
      <c r="W64" s="18" t="n"/>
      <c r="X64" s="17" t="n"/>
      <c r="Y64" s="22" t="n"/>
      <c r="Z64" s="17" t="n"/>
      <c r="AA64" s="17" t="n"/>
    </row>
    <row r="65">
      <c r="A65" s="17" t="n"/>
      <c r="B65" s="17" t="n"/>
      <c r="C65" s="18" t="n"/>
      <c r="D65" s="19" t="n"/>
      <c r="E65" s="17" t="n"/>
      <c r="F65" s="17" t="n"/>
      <c r="G65" s="17" t="n"/>
      <c r="H65" s="17" t="n"/>
      <c r="I65" s="17" t="n"/>
      <c r="J65" s="17" t="n"/>
      <c r="K65" s="17" t="n"/>
      <c r="L65" s="20" t="n"/>
      <c r="M65" s="18" t="n"/>
      <c r="N65" s="17" t="n"/>
      <c r="O65" s="18" t="n"/>
      <c r="P65" s="17" t="n"/>
      <c r="Q65" s="17" t="n"/>
      <c r="R65" s="17" t="n"/>
      <c r="S65" s="17" t="n"/>
      <c r="T65" s="21">
        <f>IF(S65="","",IFERROR(INDEX(Carreras!$D$2:$D$152,MATCH(S65,Carreras!$A$2:$A$152,0)),"En Umbral"))</f>
        <v/>
      </c>
      <c r="U65" s="18" t="n"/>
      <c r="V65" s="18" t="n"/>
      <c r="W65" s="18" t="n"/>
      <c r="X65" s="17" t="n"/>
      <c r="Y65" s="22" t="n"/>
      <c r="Z65" s="17" t="n"/>
      <c r="AA65" s="17" t="n"/>
    </row>
    <row r="66">
      <c r="A66" s="17" t="n"/>
      <c r="B66" s="17" t="n"/>
      <c r="C66" s="18" t="n"/>
      <c r="D66" s="19" t="n"/>
      <c r="E66" s="17" t="n"/>
      <c r="F66" s="17" t="n"/>
      <c r="G66" s="17" t="n"/>
      <c r="H66" s="17" t="n"/>
      <c r="I66" s="17" t="n"/>
      <c r="J66" s="17" t="n"/>
      <c r="K66" s="17" t="n"/>
      <c r="L66" s="20" t="n"/>
      <c r="M66" s="18" t="n"/>
      <c r="N66" s="17" t="n"/>
      <c r="O66" s="18" t="n"/>
      <c r="P66" s="17" t="n"/>
      <c r="Q66" s="17" t="n"/>
      <c r="R66" s="17" t="n"/>
      <c r="S66" s="17" t="n"/>
      <c r="T66" s="21">
        <f>IF(S66="","",IFERROR(INDEX(Carreras!$D$2:$D$152,MATCH(S66,Carreras!$A$2:$A$152,0)),"En Umbral"))</f>
        <v/>
      </c>
      <c r="U66" s="18" t="n"/>
      <c r="V66" s="18" t="n"/>
      <c r="W66" s="18" t="n"/>
      <c r="X66" s="17" t="n"/>
      <c r="Y66" s="22" t="n"/>
      <c r="Z66" s="17" t="n"/>
      <c r="AA66" s="17" t="n"/>
    </row>
    <row r="67">
      <c r="A67" s="17" t="n"/>
      <c r="B67" s="17" t="n"/>
      <c r="C67" s="18" t="n"/>
      <c r="D67" s="19" t="n"/>
      <c r="E67" s="17" t="n"/>
      <c r="F67" s="17" t="n"/>
      <c r="G67" s="17" t="n"/>
      <c r="H67" s="17" t="n"/>
      <c r="I67" s="17" t="n"/>
      <c r="J67" s="17" t="n"/>
      <c r="K67" s="17" t="n"/>
      <c r="L67" s="20" t="n"/>
      <c r="M67" s="18" t="n"/>
      <c r="N67" s="17" t="n"/>
      <c r="O67" s="18" t="n"/>
      <c r="P67" s="17" t="n"/>
      <c r="Q67" s="17" t="n"/>
      <c r="R67" s="17" t="n"/>
      <c r="S67" s="17" t="n"/>
      <c r="T67" s="21">
        <f>IF(S67="","",IFERROR(INDEX(Carreras!$D$2:$D$152,MATCH(S67,Carreras!$A$2:$A$152,0)),"En Umbral"))</f>
        <v/>
      </c>
      <c r="U67" s="18" t="n"/>
      <c r="V67" s="18" t="n"/>
      <c r="W67" s="18" t="n"/>
      <c r="X67" s="17" t="n"/>
      <c r="Y67" s="22" t="n"/>
      <c r="Z67" s="17" t="n"/>
      <c r="AA67" s="17" t="n"/>
    </row>
    <row r="68">
      <c r="A68" s="17" t="n"/>
      <c r="B68" s="17" t="n"/>
      <c r="C68" s="18" t="n"/>
      <c r="D68" s="19" t="n"/>
      <c r="E68" s="17" t="n"/>
      <c r="F68" s="17" t="n"/>
      <c r="G68" s="17" t="n"/>
      <c r="H68" s="17" t="n"/>
      <c r="I68" s="17" t="n"/>
      <c r="J68" s="17" t="n"/>
      <c r="K68" s="17" t="n"/>
      <c r="L68" s="20" t="n"/>
      <c r="M68" s="18" t="n"/>
      <c r="N68" s="17" t="n"/>
      <c r="O68" s="18" t="n"/>
      <c r="P68" s="17" t="n"/>
      <c r="Q68" s="17" t="n"/>
      <c r="R68" s="17" t="n"/>
      <c r="S68" s="17" t="n"/>
      <c r="T68" s="21">
        <f>IF(S68="","",IFERROR(INDEX(Carreras!$D$2:$D$152,MATCH(S68,Carreras!$A$2:$A$152,0)),"En Umbral"))</f>
        <v/>
      </c>
      <c r="U68" s="18" t="n"/>
      <c r="V68" s="18" t="n"/>
      <c r="W68" s="18" t="n"/>
      <c r="X68" s="17" t="n"/>
      <c r="Y68" s="22" t="n"/>
      <c r="Z68" s="17" t="n"/>
      <c r="AA68" s="17" t="n"/>
    </row>
    <row r="69">
      <c r="A69" s="17" t="n"/>
      <c r="B69" s="17" t="n"/>
      <c r="C69" s="18" t="n"/>
      <c r="D69" s="19" t="n"/>
      <c r="E69" s="17" t="n"/>
      <c r="F69" s="17" t="n"/>
      <c r="G69" s="17" t="n"/>
      <c r="H69" s="17" t="n"/>
      <c r="I69" s="17" t="n"/>
      <c r="J69" s="17" t="n"/>
      <c r="K69" s="17" t="n"/>
      <c r="L69" s="20" t="n"/>
      <c r="M69" s="18" t="n"/>
      <c r="N69" s="17" t="n"/>
      <c r="O69" s="18" t="n"/>
      <c r="P69" s="17" t="n"/>
      <c r="Q69" s="17" t="n"/>
      <c r="R69" s="17" t="n"/>
      <c r="S69" s="17" t="n"/>
      <c r="T69" s="21">
        <f>IF(S69="","",IFERROR(INDEX(Carreras!$D$2:$D$152,MATCH(S69,Carreras!$A$2:$A$152,0)),"En Umbral"))</f>
        <v/>
      </c>
      <c r="U69" s="18" t="n"/>
      <c r="V69" s="18" t="n"/>
      <c r="W69" s="18" t="n"/>
      <c r="X69" s="17" t="n"/>
      <c r="Y69" s="22" t="n"/>
      <c r="Z69" s="17" t="n"/>
      <c r="AA69" s="17" t="n"/>
    </row>
    <row r="70">
      <c r="A70" s="17" t="n"/>
      <c r="B70" s="17" t="n"/>
      <c r="C70" s="18" t="n"/>
      <c r="D70" s="19" t="n"/>
      <c r="E70" s="17" t="n"/>
      <c r="F70" s="17" t="n"/>
      <c r="G70" s="17" t="n"/>
      <c r="H70" s="17" t="n"/>
      <c r="I70" s="17" t="n"/>
      <c r="J70" s="17" t="n"/>
      <c r="K70" s="17" t="n"/>
      <c r="L70" s="20" t="n"/>
      <c r="M70" s="18" t="n"/>
      <c r="N70" s="17" t="n"/>
      <c r="O70" s="18" t="n"/>
      <c r="P70" s="17" t="n"/>
      <c r="Q70" s="17" t="n"/>
      <c r="R70" s="17" t="n"/>
      <c r="S70" s="17" t="n"/>
      <c r="T70" s="21">
        <f>IF(S70="","",IFERROR(INDEX(Carreras!$D$2:$D$152,MATCH(S70,Carreras!$A$2:$A$152,0)),"En Umbral"))</f>
        <v/>
      </c>
      <c r="U70" s="18" t="n"/>
      <c r="V70" s="18" t="n"/>
      <c r="W70" s="18" t="n"/>
      <c r="X70" s="17" t="n"/>
      <c r="Y70" s="22" t="n"/>
      <c r="Z70" s="17" t="n"/>
      <c r="AA70" s="17" t="n"/>
    </row>
    <row r="71">
      <c r="A71" s="17" t="n"/>
      <c r="B71" s="17" t="n"/>
      <c r="C71" s="18" t="n"/>
      <c r="D71" s="19" t="n"/>
      <c r="E71" s="17" t="n"/>
      <c r="F71" s="17" t="n"/>
      <c r="G71" s="17" t="n"/>
      <c r="H71" s="17" t="n"/>
      <c r="I71" s="17" t="n"/>
      <c r="J71" s="17" t="n"/>
      <c r="K71" s="17" t="n"/>
      <c r="L71" s="20" t="n"/>
      <c r="M71" s="18" t="n"/>
      <c r="N71" s="17" t="n"/>
      <c r="O71" s="18" t="n"/>
      <c r="P71" s="17" t="n"/>
      <c r="Q71" s="17" t="n"/>
      <c r="R71" s="17" t="n"/>
      <c r="S71" s="17" t="n"/>
      <c r="T71" s="21">
        <f>IF(S71="","",IFERROR(INDEX(Carreras!$D$2:$D$152,MATCH(S71,Carreras!$A$2:$A$152,0)),"En Umbral"))</f>
        <v/>
      </c>
      <c r="U71" s="18" t="n"/>
      <c r="V71" s="18" t="n"/>
      <c r="W71" s="18" t="n"/>
      <c r="X71" s="17" t="n"/>
      <c r="Y71" s="22" t="n"/>
      <c r="Z71" s="17" t="n"/>
      <c r="AA71" s="17" t="n"/>
    </row>
    <row r="72">
      <c r="A72" s="17" t="n"/>
      <c r="B72" s="17" t="n"/>
      <c r="C72" s="18" t="n"/>
      <c r="D72" s="19" t="n"/>
      <c r="E72" s="17" t="n"/>
      <c r="F72" s="17" t="n"/>
      <c r="G72" s="17" t="n"/>
      <c r="H72" s="17" t="n"/>
      <c r="I72" s="17" t="n"/>
      <c r="J72" s="17" t="n"/>
      <c r="K72" s="17" t="n"/>
      <c r="L72" s="20" t="n"/>
      <c r="M72" s="18" t="n"/>
      <c r="N72" s="17" t="n"/>
      <c r="O72" s="18" t="n"/>
      <c r="P72" s="17" t="n"/>
      <c r="Q72" s="17" t="n"/>
      <c r="R72" s="17" t="n"/>
      <c r="S72" s="17" t="n"/>
      <c r="T72" s="21">
        <f>IF(S72="","",IFERROR(INDEX(Carreras!$D$2:$D$152,MATCH(S72,Carreras!$A$2:$A$152,0)),"En Umbral"))</f>
        <v/>
      </c>
      <c r="U72" s="18" t="n"/>
      <c r="V72" s="18" t="n"/>
      <c r="W72" s="18" t="n"/>
      <c r="X72" s="17" t="n"/>
      <c r="Y72" s="22" t="n"/>
      <c r="Z72" s="17" t="n"/>
      <c r="AA72" s="17" t="n"/>
    </row>
    <row r="73">
      <c r="A73" s="17" t="n"/>
      <c r="B73" s="17" t="n"/>
      <c r="C73" s="18" t="n"/>
      <c r="D73" s="19" t="n"/>
      <c r="E73" s="17" t="n"/>
      <c r="F73" s="17" t="n"/>
      <c r="G73" s="17" t="n"/>
      <c r="H73" s="17" t="n"/>
      <c r="I73" s="17" t="n"/>
      <c r="J73" s="17" t="n"/>
      <c r="K73" s="17" t="n"/>
      <c r="L73" s="20" t="n"/>
      <c r="M73" s="18" t="n"/>
      <c r="N73" s="17" t="n"/>
      <c r="O73" s="18" t="n"/>
      <c r="P73" s="17" t="n"/>
      <c r="Q73" s="17" t="n"/>
      <c r="R73" s="17" t="n"/>
      <c r="S73" s="17" t="n"/>
      <c r="T73" s="21">
        <f>IF(S73="","",IFERROR(INDEX(Carreras!$D$2:$D$152,MATCH(S73,Carreras!$A$2:$A$152,0)),"En Umbral"))</f>
        <v/>
      </c>
      <c r="U73" s="18" t="n"/>
      <c r="V73" s="18" t="n"/>
      <c r="W73" s="18" t="n"/>
      <c r="X73" s="17" t="n"/>
      <c r="Y73" s="22" t="n"/>
      <c r="Z73" s="17" t="n"/>
      <c r="AA73" s="17" t="n"/>
    </row>
    <row r="74">
      <c r="A74" s="17" t="n"/>
      <c r="B74" s="17" t="n"/>
      <c r="C74" s="18" t="n"/>
      <c r="D74" s="19" t="n"/>
      <c r="E74" s="17" t="n"/>
      <c r="F74" s="17" t="n"/>
      <c r="G74" s="17" t="n"/>
      <c r="H74" s="17" t="n"/>
      <c r="I74" s="17" t="n"/>
      <c r="J74" s="17" t="n"/>
      <c r="K74" s="17" t="n"/>
      <c r="L74" s="20" t="n"/>
      <c r="M74" s="18" t="n"/>
      <c r="N74" s="17" t="n"/>
      <c r="O74" s="18" t="n"/>
      <c r="P74" s="17" t="n"/>
      <c r="Q74" s="17" t="n"/>
      <c r="R74" s="17" t="n"/>
      <c r="S74" s="17" t="n"/>
      <c r="T74" s="21">
        <f>IF(S74="","",IFERROR(INDEX(Carreras!$D$2:$D$152,MATCH(S74,Carreras!$A$2:$A$152,0)),"En Umbral"))</f>
        <v/>
      </c>
      <c r="U74" s="18" t="n"/>
      <c r="V74" s="18" t="n"/>
      <c r="W74" s="18" t="n"/>
      <c r="X74" s="17" t="n"/>
      <c r="Y74" s="22" t="n"/>
      <c r="Z74" s="17" t="n"/>
      <c r="AA74" s="17" t="n"/>
    </row>
    <row r="75">
      <c r="A75" s="17" t="n"/>
      <c r="B75" s="17" t="n"/>
      <c r="C75" s="18" t="n"/>
      <c r="D75" s="19" t="n"/>
      <c r="E75" s="17" t="n"/>
      <c r="F75" s="17" t="n"/>
      <c r="G75" s="17" t="n"/>
      <c r="H75" s="17" t="n"/>
      <c r="I75" s="17" t="n"/>
      <c r="J75" s="17" t="n"/>
      <c r="K75" s="17" t="n"/>
      <c r="L75" s="20" t="n"/>
      <c r="M75" s="18" t="n"/>
      <c r="N75" s="17" t="n"/>
      <c r="O75" s="18" t="n"/>
      <c r="P75" s="17" t="n"/>
      <c r="Q75" s="17" t="n"/>
      <c r="R75" s="17" t="n"/>
      <c r="S75" s="17" t="n"/>
      <c r="T75" s="21">
        <f>IF(S75="","",IFERROR(INDEX(Carreras!$D$2:$D$152,MATCH(S75,Carreras!$A$2:$A$152,0)),"En Umbral"))</f>
        <v/>
      </c>
      <c r="U75" s="18" t="n"/>
      <c r="V75" s="18" t="n"/>
      <c r="W75" s="18" t="n"/>
      <c r="X75" s="17" t="n"/>
      <c r="Y75" s="22" t="n"/>
      <c r="Z75" s="17" t="n"/>
      <c r="AA75" s="17" t="n"/>
    </row>
    <row r="76">
      <c r="A76" s="17" t="n"/>
      <c r="B76" s="17" t="n"/>
      <c r="C76" s="18" t="n"/>
      <c r="D76" s="19" t="n"/>
      <c r="E76" s="17" t="n"/>
      <c r="F76" s="17" t="n"/>
      <c r="G76" s="17" t="n"/>
      <c r="H76" s="17" t="n"/>
      <c r="I76" s="17" t="n"/>
      <c r="J76" s="17" t="n"/>
      <c r="K76" s="17" t="n"/>
      <c r="L76" s="20" t="n"/>
      <c r="M76" s="18" t="n"/>
      <c r="N76" s="17" t="n"/>
      <c r="O76" s="18" t="n"/>
      <c r="P76" s="17" t="n"/>
      <c r="Q76" s="17" t="n"/>
      <c r="R76" s="17" t="n"/>
      <c r="S76" s="17" t="n"/>
      <c r="T76" s="21">
        <f>IF(S76="","",IFERROR(INDEX(Carreras!$D$2:$D$152,MATCH(S76,Carreras!$A$2:$A$152,0)),"En Umbral"))</f>
        <v/>
      </c>
      <c r="U76" s="18" t="n"/>
      <c r="V76" s="18" t="n"/>
      <c r="W76" s="18" t="n"/>
      <c r="X76" s="17" t="n"/>
      <c r="Y76" s="22" t="n"/>
      <c r="Z76" s="17" t="n"/>
      <c r="AA76" s="17" t="n"/>
    </row>
    <row r="77">
      <c r="A77" s="17" t="n"/>
      <c r="B77" s="17" t="n"/>
      <c r="C77" s="18" t="n"/>
      <c r="D77" s="19" t="n"/>
      <c r="E77" s="17" t="n"/>
      <c r="F77" s="17" t="n"/>
      <c r="G77" s="17" t="n"/>
      <c r="H77" s="17" t="n"/>
      <c r="I77" s="17" t="n"/>
      <c r="J77" s="17" t="n"/>
      <c r="K77" s="17" t="n"/>
      <c r="L77" s="20" t="n"/>
      <c r="M77" s="18" t="n"/>
      <c r="N77" s="17" t="n"/>
      <c r="O77" s="18" t="n"/>
      <c r="P77" s="17" t="n"/>
      <c r="Q77" s="17" t="n"/>
      <c r="R77" s="17" t="n"/>
      <c r="S77" s="17" t="n"/>
      <c r="T77" s="21">
        <f>IF(S77="","",IFERROR(INDEX(Carreras!$D$2:$D$152,MATCH(S77,Carreras!$A$2:$A$152,0)),"En Umbral"))</f>
        <v/>
      </c>
      <c r="U77" s="18" t="n"/>
      <c r="V77" s="18" t="n"/>
      <c r="W77" s="18" t="n"/>
      <c r="X77" s="17" t="n"/>
      <c r="Y77" s="22" t="n"/>
      <c r="Z77" s="17" t="n"/>
      <c r="AA77" s="17" t="n"/>
    </row>
    <row r="78">
      <c r="A78" s="17" t="n"/>
      <c r="B78" s="17" t="n"/>
      <c r="C78" s="18" t="n"/>
      <c r="D78" s="19" t="n"/>
      <c r="E78" s="17" t="n"/>
      <c r="F78" s="17" t="n"/>
      <c r="G78" s="17" t="n"/>
      <c r="H78" s="17" t="n"/>
      <c r="I78" s="17" t="n"/>
      <c r="J78" s="17" t="n"/>
      <c r="K78" s="17" t="n"/>
      <c r="L78" s="20" t="n"/>
      <c r="M78" s="18" t="n"/>
      <c r="N78" s="17" t="n"/>
      <c r="O78" s="18" t="n"/>
      <c r="P78" s="17" t="n"/>
      <c r="Q78" s="17" t="n"/>
      <c r="R78" s="17" t="n"/>
      <c r="S78" s="17" t="n"/>
      <c r="T78" s="21">
        <f>IF(S78="","",IFERROR(INDEX(Carreras!$D$2:$D$152,MATCH(S78,Carreras!$A$2:$A$152,0)),"En Umbral"))</f>
        <v/>
      </c>
      <c r="U78" s="18" t="n"/>
      <c r="V78" s="18" t="n"/>
      <c r="W78" s="18" t="n"/>
      <c r="X78" s="17" t="n"/>
      <c r="Y78" s="22" t="n"/>
      <c r="Z78" s="17" t="n"/>
      <c r="AA78" s="17" t="n"/>
    </row>
    <row r="79">
      <c r="A79" s="17" t="n"/>
      <c r="B79" s="17" t="n"/>
      <c r="C79" s="18" t="n"/>
      <c r="D79" s="19" t="n"/>
      <c r="E79" s="17" t="n"/>
      <c r="F79" s="17" t="n"/>
      <c r="G79" s="17" t="n"/>
      <c r="H79" s="17" t="n"/>
      <c r="I79" s="17" t="n"/>
      <c r="J79" s="17" t="n"/>
      <c r="K79" s="17" t="n"/>
      <c r="L79" s="20" t="n"/>
      <c r="M79" s="18" t="n"/>
      <c r="N79" s="17" t="n"/>
      <c r="O79" s="18" t="n"/>
      <c r="P79" s="17" t="n"/>
      <c r="Q79" s="17" t="n"/>
      <c r="R79" s="17" t="n"/>
      <c r="S79" s="17" t="n"/>
      <c r="T79" s="21">
        <f>IF(S79="","",IFERROR(INDEX(Carreras!$D$2:$D$152,MATCH(S79,Carreras!$A$2:$A$152,0)),"En Umbral"))</f>
        <v/>
      </c>
      <c r="U79" s="18" t="n"/>
      <c r="V79" s="18" t="n"/>
      <c r="W79" s="18" t="n"/>
      <c r="X79" s="17" t="n"/>
      <c r="Y79" s="22" t="n"/>
      <c r="Z79" s="17" t="n"/>
      <c r="AA79" s="17" t="n"/>
    </row>
    <row r="80">
      <c r="A80" s="17" t="n"/>
      <c r="B80" s="17" t="n"/>
      <c r="C80" s="18" t="n"/>
      <c r="D80" s="19" t="n"/>
      <c r="E80" s="17" t="n"/>
      <c r="F80" s="17" t="n"/>
      <c r="G80" s="17" t="n"/>
      <c r="H80" s="17" t="n"/>
      <c r="I80" s="17" t="n"/>
      <c r="J80" s="17" t="n"/>
      <c r="K80" s="17" t="n"/>
      <c r="L80" s="20" t="n"/>
      <c r="M80" s="18" t="n"/>
      <c r="N80" s="17" t="n"/>
      <c r="O80" s="18" t="n"/>
      <c r="P80" s="17" t="n"/>
      <c r="Q80" s="17" t="n"/>
      <c r="R80" s="17" t="n"/>
      <c r="S80" s="17" t="n"/>
      <c r="T80" s="21">
        <f>IF(S80="","",IFERROR(INDEX(Carreras!$D$2:$D$152,MATCH(S80,Carreras!$A$2:$A$152,0)),"En Umbral"))</f>
        <v/>
      </c>
      <c r="U80" s="18" t="n"/>
      <c r="V80" s="18" t="n"/>
      <c r="W80" s="18" t="n"/>
      <c r="X80" s="17" t="n"/>
      <c r="Y80" s="22" t="n"/>
      <c r="Z80" s="17" t="n"/>
      <c r="AA80" s="17" t="n"/>
    </row>
    <row r="81">
      <c r="A81" s="17" t="n"/>
      <c r="B81" s="17" t="n"/>
      <c r="C81" s="18" t="n"/>
      <c r="D81" s="19" t="n"/>
      <c r="E81" s="17" t="n"/>
      <c r="F81" s="17" t="n"/>
      <c r="G81" s="17" t="n"/>
      <c r="H81" s="17" t="n"/>
      <c r="I81" s="17" t="n"/>
      <c r="J81" s="17" t="n"/>
      <c r="K81" s="17" t="n"/>
      <c r="L81" s="20" t="n"/>
      <c r="M81" s="18" t="n"/>
      <c r="N81" s="17" t="n"/>
      <c r="O81" s="18" t="n"/>
      <c r="P81" s="17" t="n"/>
      <c r="Q81" s="17" t="n"/>
      <c r="R81" s="17" t="n"/>
      <c r="S81" s="17" t="n"/>
      <c r="T81" s="21">
        <f>IF(S81="","",IFERROR(INDEX(Carreras!$D$2:$D$152,MATCH(S81,Carreras!$A$2:$A$152,0)),"En Umbral"))</f>
        <v/>
      </c>
      <c r="U81" s="18" t="n"/>
      <c r="V81" s="18" t="n"/>
      <c r="W81" s="18" t="n"/>
      <c r="X81" s="17" t="n"/>
      <c r="Y81" s="22" t="n"/>
      <c r="Z81" s="17" t="n"/>
      <c r="AA81" s="17" t="n"/>
    </row>
    <row r="82">
      <c r="A82" s="17" t="n"/>
      <c r="B82" s="17" t="n"/>
      <c r="C82" s="18" t="n"/>
      <c r="D82" s="19" t="n"/>
      <c r="E82" s="17" t="n"/>
      <c r="F82" s="17" t="n"/>
      <c r="G82" s="17" t="n"/>
      <c r="H82" s="17" t="n"/>
      <c r="I82" s="17" t="n"/>
      <c r="J82" s="17" t="n"/>
      <c r="K82" s="17" t="n"/>
      <c r="L82" s="20" t="n"/>
      <c r="M82" s="18" t="n"/>
      <c r="N82" s="17" t="n"/>
      <c r="O82" s="18" t="n"/>
      <c r="P82" s="17" t="n"/>
      <c r="Q82" s="17" t="n"/>
      <c r="R82" s="17" t="n"/>
      <c r="S82" s="17" t="n"/>
      <c r="T82" s="21">
        <f>IF(S82="","",IFERROR(INDEX(Carreras!$D$2:$D$152,MATCH(S82,Carreras!$A$2:$A$152,0)),"En Umbral"))</f>
        <v/>
      </c>
      <c r="U82" s="18" t="n"/>
      <c r="V82" s="18" t="n"/>
      <c r="W82" s="18" t="n"/>
      <c r="X82" s="17" t="n"/>
      <c r="Y82" s="22" t="n"/>
      <c r="Z82" s="17" t="n"/>
      <c r="AA82" s="17" t="n"/>
    </row>
    <row r="83">
      <c r="A83" s="17" t="n"/>
      <c r="B83" s="17" t="n"/>
      <c r="C83" s="18" t="n"/>
      <c r="D83" s="19" t="n"/>
      <c r="E83" s="17" t="n"/>
      <c r="F83" s="17" t="n"/>
      <c r="G83" s="17" t="n"/>
      <c r="H83" s="17" t="n"/>
      <c r="I83" s="17" t="n"/>
      <c r="J83" s="17" t="n"/>
      <c r="K83" s="17" t="n"/>
      <c r="L83" s="20" t="n"/>
      <c r="M83" s="18" t="n"/>
      <c r="N83" s="17" t="n"/>
      <c r="O83" s="18" t="n"/>
      <c r="P83" s="17" t="n"/>
      <c r="Q83" s="17" t="n"/>
      <c r="R83" s="17" t="n"/>
      <c r="S83" s="17" t="n"/>
      <c r="T83" s="21">
        <f>IF(S83="","",IFERROR(INDEX(Carreras!$D$2:$D$152,MATCH(S83,Carreras!$A$2:$A$152,0)),"En Umbral"))</f>
        <v/>
      </c>
      <c r="U83" s="18" t="n"/>
      <c r="V83" s="18" t="n"/>
      <c r="W83" s="18" t="n"/>
      <c r="X83" s="17" t="n"/>
      <c r="Y83" s="22" t="n"/>
      <c r="Z83" s="17" t="n"/>
      <c r="AA83" s="17" t="n"/>
    </row>
    <row r="84">
      <c r="A84" s="17" t="n"/>
      <c r="B84" s="17" t="n"/>
      <c r="C84" s="18" t="n"/>
      <c r="D84" s="19" t="n"/>
      <c r="E84" s="17" t="n"/>
      <c r="F84" s="17" t="n"/>
      <c r="G84" s="17" t="n"/>
      <c r="H84" s="17" t="n"/>
      <c r="I84" s="17" t="n"/>
      <c r="J84" s="17" t="n"/>
      <c r="K84" s="17" t="n"/>
      <c r="L84" s="20" t="n"/>
      <c r="M84" s="18" t="n"/>
      <c r="N84" s="17" t="n"/>
      <c r="O84" s="18" t="n"/>
      <c r="P84" s="17" t="n"/>
      <c r="Q84" s="17" t="n"/>
      <c r="R84" s="17" t="n"/>
      <c r="S84" s="17" t="n"/>
      <c r="T84" s="21">
        <f>IF(S84="","",IFERROR(INDEX(Carreras!$D$2:$D$152,MATCH(S84,Carreras!$A$2:$A$152,0)),"En Umbral"))</f>
        <v/>
      </c>
      <c r="U84" s="18" t="n"/>
      <c r="V84" s="18" t="n"/>
      <c r="W84" s="18" t="n"/>
      <c r="X84" s="17" t="n"/>
      <c r="Y84" s="22" t="n"/>
      <c r="Z84" s="17" t="n"/>
      <c r="AA84" s="17" t="n"/>
    </row>
    <row r="85">
      <c r="A85" s="17" t="n"/>
      <c r="B85" s="17" t="n"/>
      <c r="C85" s="18" t="n"/>
      <c r="D85" s="19" t="n"/>
      <c r="E85" s="17" t="n"/>
      <c r="F85" s="17" t="n"/>
      <c r="G85" s="17" t="n"/>
      <c r="H85" s="17" t="n"/>
      <c r="I85" s="17" t="n"/>
      <c r="J85" s="17" t="n"/>
      <c r="K85" s="17" t="n"/>
      <c r="L85" s="20" t="n"/>
      <c r="M85" s="18" t="n"/>
      <c r="N85" s="17" t="n"/>
      <c r="O85" s="18" t="n"/>
      <c r="P85" s="17" t="n"/>
      <c r="Q85" s="17" t="n"/>
      <c r="R85" s="17" t="n"/>
      <c r="S85" s="17" t="n"/>
      <c r="T85" s="21">
        <f>IF(S85="","",IFERROR(INDEX(Carreras!$D$2:$D$152,MATCH(S85,Carreras!$A$2:$A$152,0)),"En Umbral"))</f>
        <v/>
      </c>
      <c r="U85" s="18" t="n"/>
      <c r="V85" s="18" t="n"/>
      <c r="W85" s="18" t="n"/>
      <c r="X85" s="17" t="n"/>
      <c r="Y85" s="22" t="n"/>
      <c r="Z85" s="17" t="n"/>
      <c r="AA85" s="17" t="n"/>
    </row>
    <row r="86">
      <c r="A86" s="17" t="n"/>
      <c r="B86" s="17" t="n"/>
      <c r="C86" s="18" t="n"/>
      <c r="D86" s="19" t="n"/>
      <c r="E86" s="17" t="n"/>
      <c r="F86" s="17" t="n"/>
      <c r="G86" s="17" t="n"/>
      <c r="H86" s="17" t="n"/>
      <c r="I86" s="17" t="n"/>
      <c r="J86" s="17" t="n"/>
      <c r="K86" s="17" t="n"/>
      <c r="L86" s="20" t="n"/>
      <c r="M86" s="18" t="n"/>
      <c r="N86" s="17" t="n"/>
      <c r="O86" s="18" t="n"/>
      <c r="P86" s="17" t="n"/>
      <c r="Q86" s="17" t="n"/>
      <c r="R86" s="17" t="n"/>
      <c r="S86" s="17" t="n"/>
      <c r="T86" s="21">
        <f>IF(S86="","",IFERROR(INDEX(Carreras!$D$2:$D$152,MATCH(S86,Carreras!$A$2:$A$152,0)),"En Umbral"))</f>
        <v/>
      </c>
      <c r="U86" s="18" t="n"/>
      <c r="V86" s="18" t="n"/>
      <c r="W86" s="18" t="n"/>
      <c r="X86" s="17" t="n"/>
      <c r="Y86" s="22" t="n"/>
      <c r="Z86" s="17" t="n"/>
      <c r="AA86" s="17" t="n"/>
    </row>
    <row r="87">
      <c r="A87" s="17" t="n"/>
      <c r="B87" s="17" t="n"/>
      <c r="C87" s="18" t="n"/>
      <c r="D87" s="19" t="n"/>
      <c r="E87" s="17" t="n"/>
      <c r="F87" s="17" t="n"/>
      <c r="G87" s="17" t="n"/>
      <c r="H87" s="17" t="n"/>
      <c r="I87" s="17" t="n"/>
      <c r="J87" s="17" t="n"/>
      <c r="K87" s="17" t="n"/>
      <c r="L87" s="20" t="n"/>
      <c r="M87" s="18" t="n"/>
      <c r="N87" s="17" t="n"/>
      <c r="O87" s="18" t="n"/>
      <c r="P87" s="17" t="n"/>
      <c r="Q87" s="17" t="n"/>
      <c r="R87" s="17" t="n"/>
      <c r="S87" s="17" t="n"/>
      <c r="T87" s="21">
        <f>IF(S87="","",IFERROR(INDEX(Carreras!$D$2:$D$152,MATCH(S87,Carreras!$A$2:$A$152,0)),"En Umbral"))</f>
        <v/>
      </c>
      <c r="U87" s="18" t="n"/>
      <c r="V87" s="18" t="n"/>
      <c r="W87" s="18" t="n"/>
      <c r="X87" s="17" t="n"/>
      <c r="Y87" s="22" t="n"/>
      <c r="Z87" s="17" t="n"/>
      <c r="AA87" s="17" t="n"/>
    </row>
    <row r="88">
      <c r="A88" s="17" t="n"/>
      <c r="B88" s="17" t="n"/>
      <c r="C88" s="18" t="n"/>
      <c r="D88" s="19" t="n"/>
      <c r="E88" s="17" t="n"/>
      <c r="F88" s="17" t="n"/>
      <c r="G88" s="17" t="n"/>
      <c r="H88" s="17" t="n"/>
      <c r="I88" s="17" t="n"/>
      <c r="J88" s="17" t="n"/>
      <c r="K88" s="17" t="n"/>
      <c r="L88" s="20" t="n"/>
      <c r="M88" s="18" t="n"/>
      <c r="N88" s="17" t="n"/>
      <c r="O88" s="18" t="n"/>
      <c r="P88" s="17" t="n"/>
      <c r="Q88" s="17" t="n"/>
      <c r="R88" s="17" t="n"/>
      <c r="S88" s="17" t="n"/>
      <c r="T88" s="21">
        <f>IF(S88="","",IFERROR(INDEX(Carreras!$D$2:$D$152,MATCH(S88,Carreras!$A$2:$A$152,0)),"En Umbral"))</f>
        <v/>
      </c>
      <c r="U88" s="18" t="n"/>
      <c r="V88" s="18" t="n"/>
      <c r="W88" s="18" t="n"/>
      <c r="X88" s="17" t="n"/>
      <c r="Y88" s="22" t="n"/>
      <c r="Z88" s="17" t="n"/>
      <c r="AA88" s="17" t="n"/>
    </row>
    <row r="89">
      <c r="A89" s="17" t="n"/>
      <c r="B89" s="17" t="n"/>
      <c r="C89" s="18" t="n"/>
      <c r="D89" s="19" t="n"/>
      <c r="E89" s="17" t="n"/>
      <c r="F89" s="17" t="n"/>
      <c r="G89" s="17" t="n"/>
      <c r="H89" s="17" t="n"/>
      <c r="I89" s="17" t="n"/>
      <c r="J89" s="17" t="n"/>
      <c r="K89" s="17" t="n"/>
      <c r="L89" s="20" t="n"/>
      <c r="M89" s="18" t="n"/>
      <c r="N89" s="17" t="n"/>
      <c r="O89" s="18" t="n"/>
      <c r="P89" s="17" t="n"/>
      <c r="Q89" s="17" t="n"/>
      <c r="R89" s="17" t="n"/>
      <c r="S89" s="17" t="n"/>
      <c r="T89" s="21">
        <f>IF(S89="","",IFERROR(INDEX(Carreras!$D$2:$D$152,MATCH(S89,Carreras!$A$2:$A$152,0)),"En Umbral"))</f>
        <v/>
      </c>
      <c r="U89" s="18" t="n"/>
      <c r="V89" s="18" t="n"/>
      <c r="W89" s="18" t="n"/>
      <c r="X89" s="17" t="n"/>
      <c r="Y89" s="22" t="n"/>
      <c r="Z89" s="17" t="n"/>
      <c r="AA89" s="17" t="n"/>
    </row>
    <row r="90">
      <c r="A90" s="17" t="n"/>
      <c r="B90" s="17" t="n"/>
      <c r="C90" s="18" t="n"/>
      <c r="D90" s="19" t="n"/>
      <c r="E90" s="17" t="n"/>
      <c r="F90" s="17" t="n"/>
      <c r="G90" s="17" t="n"/>
      <c r="H90" s="17" t="n"/>
      <c r="I90" s="17" t="n"/>
      <c r="J90" s="17" t="n"/>
      <c r="K90" s="17" t="n"/>
      <c r="L90" s="20" t="n"/>
      <c r="M90" s="18" t="n"/>
      <c r="N90" s="17" t="n"/>
      <c r="O90" s="18" t="n"/>
      <c r="P90" s="17" t="n"/>
      <c r="Q90" s="17" t="n"/>
      <c r="R90" s="17" t="n"/>
      <c r="S90" s="17" t="n"/>
      <c r="T90" s="21">
        <f>IF(S90="","",IFERROR(INDEX(Carreras!$D$2:$D$152,MATCH(S90,Carreras!$A$2:$A$152,0)),"En Umbral"))</f>
        <v/>
      </c>
      <c r="U90" s="18" t="n"/>
      <c r="V90" s="18" t="n"/>
      <c r="W90" s="18" t="n"/>
      <c r="X90" s="17" t="n"/>
      <c r="Y90" s="22" t="n"/>
      <c r="Z90" s="17" t="n"/>
      <c r="AA90" s="17" t="n"/>
    </row>
    <row r="91">
      <c r="A91" s="17" t="n"/>
      <c r="B91" s="17" t="n"/>
      <c r="C91" s="18" t="n"/>
      <c r="D91" s="19" t="n"/>
      <c r="E91" s="17" t="n"/>
      <c r="F91" s="17" t="n"/>
      <c r="G91" s="17" t="n"/>
      <c r="H91" s="17" t="n"/>
      <c r="I91" s="17" t="n"/>
      <c r="J91" s="17" t="n"/>
      <c r="K91" s="17" t="n"/>
      <c r="L91" s="20" t="n"/>
      <c r="M91" s="18" t="n"/>
      <c r="N91" s="17" t="n"/>
      <c r="O91" s="18" t="n"/>
      <c r="P91" s="17" t="n"/>
      <c r="Q91" s="17" t="n"/>
      <c r="R91" s="17" t="n"/>
      <c r="S91" s="17" t="n"/>
      <c r="T91" s="21">
        <f>IF(S91="","",IFERROR(INDEX(Carreras!$D$2:$D$152,MATCH(S91,Carreras!$A$2:$A$152,0)),"En Umbral"))</f>
        <v/>
      </c>
      <c r="U91" s="18" t="n"/>
      <c r="V91" s="18" t="n"/>
      <c r="W91" s="18" t="n"/>
      <c r="X91" s="17" t="n"/>
      <c r="Y91" s="22" t="n"/>
      <c r="Z91" s="17" t="n"/>
      <c r="AA91" s="17" t="n"/>
    </row>
    <row r="92">
      <c r="A92" s="17" t="n"/>
      <c r="B92" s="17" t="n"/>
      <c r="C92" s="18" t="n"/>
      <c r="D92" s="19" t="n"/>
      <c r="E92" s="17" t="n"/>
      <c r="F92" s="17" t="n"/>
      <c r="G92" s="17" t="n"/>
      <c r="H92" s="17" t="n"/>
      <c r="I92" s="17" t="n"/>
      <c r="J92" s="17" t="n"/>
      <c r="K92" s="17" t="n"/>
      <c r="L92" s="20" t="n"/>
      <c r="M92" s="18" t="n"/>
      <c r="N92" s="17" t="n"/>
      <c r="O92" s="18" t="n"/>
      <c r="P92" s="17" t="n"/>
      <c r="Q92" s="17" t="n"/>
      <c r="R92" s="17" t="n"/>
      <c r="S92" s="17" t="n"/>
      <c r="T92" s="21">
        <f>IF(S92="","",IFERROR(INDEX(Carreras!$D$2:$D$152,MATCH(S92,Carreras!$A$2:$A$152,0)),"En Umbral"))</f>
        <v/>
      </c>
      <c r="U92" s="18" t="n"/>
      <c r="V92" s="18" t="n"/>
      <c r="W92" s="18" t="n"/>
      <c r="X92" s="17" t="n"/>
      <c r="Y92" s="22" t="n"/>
      <c r="Z92" s="17" t="n"/>
      <c r="AA92" s="17" t="n"/>
    </row>
    <row r="93">
      <c r="A93" s="17" t="n"/>
      <c r="B93" s="17" t="n"/>
      <c r="C93" s="18" t="n"/>
      <c r="D93" s="19" t="n"/>
      <c r="E93" s="17" t="n"/>
      <c r="F93" s="17" t="n"/>
      <c r="G93" s="17" t="n"/>
      <c r="H93" s="17" t="n"/>
      <c r="I93" s="17" t="n"/>
      <c r="J93" s="17" t="n"/>
      <c r="K93" s="17" t="n"/>
      <c r="L93" s="20" t="n"/>
      <c r="M93" s="18" t="n"/>
      <c r="N93" s="17" t="n"/>
      <c r="O93" s="18" t="n"/>
      <c r="P93" s="17" t="n"/>
      <c r="Q93" s="17" t="n"/>
      <c r="R93" s="17" t="n"/>
      <c r="S93" s="17" t="n"/>
      <c r="T93" s="21">
        <f>IF(S93="","",IFERROR(INDEX(Carreras!$D$2:$D$152,MATCH(S93,Carreras!$A$2:$A$152,0)),"En Umbral"))</f>
        <v/>
      </c>
      <c r="U93" s="18" t="n"/>
      <c r="V93" s="18" t="n"/>
      <c r="W93" s="18" t="n"/>
      <c r="X93" s="17" t="n"/>
      <c r="Y93" s="22" t="n"/>
      <c r="Z93" s="17" t="n"/>
      <c r="AA93" s="17" t="n"/>
    </row>
    <row r="94">
      <c r="A94" s="17" t="n"/>
      <c r="B94" s="17" t="n"/>
      <c r="C94" s="18" t="n"/>
      <c r="D94" s="19" t="n"/>
      <c r="E94" s="17" t="n"/>
      <c r="F94" s="17" t="n"/>
      <c r="G94" s="17" t="n"/>
      <c r="H94" s="17" t="n"/>
      <c r="I94" s="17" t="n"/>
      <c r="J94" s="17" t="n"/>
      <c r="K94" s="17" t="n"/>
      <c r="L94" s="20" t="n"/>
      <c r="M94" s="18" t="n"/>
      <c r="N94" s="17" t="n"/>
      <c r="O94" s="18" t="n"/>
      <c r="P94" s="17" t="n"/>
      <c r="Q94" s="17" t="n"/>
      <c r="R94" s="17" t="n"/>
      <c r="S94" s="17" t="n"/>
      <c r="T94" s="21">
        <f>IF(S94="","",IFERROR(INDEX(Carreras!$D$2:$D$152,MATCH(S94,Carreras!$A$2:$A$152,0)),"En Umbral"))</f>
        <v/>
      </c>
      <c r="U94" s="18" t="n"/>
      <c r="V94" s="18" t="n"/>
      <c r="W94" s="18" t="n"/>
      <c r="X94" s="17" t="n"/>
      <c r="Y94" s="22" t="n"/>
      <c r="Z94" s="17" t="n"/>
      <c r="AA94" s="17" t="n"/>
    </row>
    <row r="95">
      <c r="A95" s="17" t="n"/>
      <c r="B95" s="17" t="n"/>
      <c r="C95" s="18" t="n"/>
      <c r="D95" s="19" t="n"/>
      <c r="E95" s="17" t="n"/>
      <c r="F95" s="17" t="n"/>
      <c r="G95" s="17" t="n"/>
      <c r="H95" s="17" t="n"/>
      <c r="I95" s="17" t="n"/>
      <c r="J95" s="17" t="n"/>
      <c r="K95" s="17" t="n"/>
      <c r="L95" s="20" t="n"/>
      <c r="M95" s="18" t="n"/>
      <c r="N95" s="17" t="n"/>
      <c r="O95" s="18" t="n"/>
      <c r="P95" s="17" t="n"/>
      <c r="Q95" s="17" t="n"/>
      <c r="R95" s="17" t="n"/>
      <c r="S95" s="17" t="n"/>
      <c r="T95" s="21">
        <f>IF(S95="","",IFERROR(INDEX(Carreras!$D$2:$D$152,MATCH(S95,Carreras!$A$2:$A$152,0)),"En Umbral"))</f>
        <v/>
      </c>
      <c r="U95" s="18" t="n"/>
      <c r="V95" s="18" t="n"/>
      <c r="W95" s="18" t="n"/>
      <c r="X95" s="17" t="n"/>
      <c r="Y95" s="22" t="n"/>
      <c r="Z95" s="17" t="n"/>
      <c r="AA95" s="17" t="n"/>
    </row>
    <row r="96">
      <c r="A96" s="17" t="n"/>
      <c r="B96" s="17" t="n"/>
      <c r="C96" s="18" t="n"/>
      <c r="D96" s="19" t="n"/>
      <c r="E96" s="17" t="n"/>
      <c r="F96" s="17" t="n"/>
      <c r="G96" s="17" t="n"/>
      <c r="H96" s="17" t="n"/>
      <c r="I96" s="17" t="n"/>
      <c r="J96" s="17" t="n"/>
      <c r="K96" s="17" t="n"/>
      <c r="L96" s="20" t="n"/>
      <c r="M96" s="18" t="n"/>
      <c r="N96" s="17" t="n"/>
      <c r="O96" s="18" t="n"/>
      <c r="P96" s="17" t="n"/>
      <c r="Q96" s="17" t="n"/>
      <c r="R96" s="17" t="n"/>
      <c r="S96" s="17" t="n"/>
      <c r="T96" s="21">
        <f>IF(S96="","",IFERROR(INDEX(Carreras!$D$2:$D$152,MATCH(S96,Carreras!$A$2:$A$152,0)),"En Umbral"))</f>
        <v/>
      </c>
      <c r="U96" s="18" t="n"/>
      <c r="V96" s="18" t="n"/>
      <c r="W96" s="18" t="n"/>
      <c r="X96" s="17" t="n"/>
      <c r="Y96" s="22" t="n"/>
      <c r="Z96" s="17" t="n"/>
      <c r="AA96" s="17" t="n"/>
    </row>
    <row r="97">
      <c r="A97" s="17" t="n"/>
      <c r="B97" s="17" t="n"/>
      <c r="C97" s="18" t="n"/>
      <c r="D97" s="19" t="n"/>
      <c r="E97" s="17" t="n"/>
      <c r="F97" s="17" t="n"/>
      <c r="G97" s="17" t="n"/>
      <c r="H97" s="17" t="n"/>
      <c r="I97" s="17" t="n"/>
      <c r="J97" s="17" t="n"/>
      <c r="K97" s="17" t="n"/>
      <c r="L97" s="20" t="n"/>
      <c r="M97" s="18" t="n"/>
      <c r="N97" s="17" t="n"/>
      <c r="O97" s="18" t="n"/>
      <c r="P97" s="17" t="n"/>
      <c r="Q97" s="17" t="n"/>
      <c r="R97" s="17" t="n"/>
      <c r="S97" s="17" t="n"/>
      <c r="T97" s="21">
        <f>IF(S97="","",IFERROR(INDEX(Carreras!$D$2:$D$152,MATCH(S97,Carreras!$A$2:$A$152,0)),"En Umbral"))</f>
        <v/>
      </c>
      <c r="U97" s="18" t="n"/>
      <c r="V97" s="18" t="n"/>
      <c r="W97" s="18" t="n"/>
      <c r="X97" s="17" t="n"/>
      <c r="Y97" s="22" t="n"/>
      <c r="Z97" s="17" t="n"/>
      <c r="AA97" s="17" t="n"/>
    </row>
    <row r="98">
      <c r="A98" s="17" t="n"/>
      <c r="B98" s="17" t="n"/>
      <c r="C98" s="18" t="n"/>
      <c r="D98" s="19" t="n"/>
      <c r="E98" s="17" t="n"/>
      <c r="F98" s="17" t="n"/>
      <c r="G98" s="17" t="n"/>
      <c r="H98" s="17" t="n"/>
      <c r="I98" s="17" t="n"/>
      <c r="J98" s="17" t="n"/>
      <c r="K98" s="17" t="n"/>
      <c r="L98" s="20" t="n"/>
      <c r="M98" s="18" t="n"/>
      <c r="N98" s="17" t="n"/>
      <c r="O98" s="18" t="n"/>
      <c r="P98" s="17" t="n"/>
      <c r="Q98" s="17" t="n"/>
      <c r="R98" s="17" t="n"/>
      <c r="S98" s="17" t="n"/>
      <c r="T98" s="21">
        <f>IF(S98="","",IFERROR(INDEX(Carreras!$D$2:$D$152,MATCH(S98,Carreras!$A$2:$A$152,0)),"En Umbral"))</f>
        <v/>
      </c>
      <c r="U98" s="18" t="n"/>
      <c r="V98" s="18" t="n"/>
      <c r="W98" s="18" t="n"/>
      <c r="X98" s="17" t="n"/>
      <c r="Y98" s="22" t="n"/>
      <c r="Z98" s="17" t="n"/>
      <c r="AA98" s="17" t="n"/>
    </row>
    <row r="99">
      <c r="A99" s="17" t="n"/>
      <c r="B99" s="17" t="n"/>
      <c r="C99" s="18" t="n"/>
      <c r="D99" s="19" t="n"/>
      <c r="E99" s="17" t="n"/>
      <c r="F99" s="17" t="n"/>
      <c r="G99" s="17" t="n"/>
      <c r="H99" s="17" t="n"/>
      <c r="I99" s="17" t="n"/>
      <c r="J99" s="17" t="n"/>
      <c r="K99" s="17" t="n"/>
      <c r="L99" s="20" t="n"/>
      <c r="M99" s="18" t="n"/>
      <c r="N99" s="17" t="n"/>
      <c r="O99" s="18" t="n"/>
      <c r="P99" s="17" t="n"/>
      <c r="Q99" s="17" t="n"/>
      <c r="R99" s="17" t="n"/>
      <c r="S99" s="17" t="n"/>
      <c r="T99" s="21">
        <f>IF(S99="","",IFERROR(INDEX(Carreras!$D$2:$D$152,MATCH(S99,Carreras!$A$2:$A$152,0)),"En Umbral"))</f>
        <v/>
      </c>
      <c r="U99" s="18" t="n"/>
      <c r="V99" s="18" t="n"/>
      <c r="W99" s="18" t="n"/>
      <c r="X99" s="17" t="n"/>
      <c r="Y99" s="22" t="n"/>
      <c r="Z99" s="17" t="n"/>
      <c r="AA99" s="17" t="n"/>
    </row>
    <row r="100">
      <c r="A100" s="17" t="n"/>
      <c r="B100" s="17" t="n"/>
      <c r="C100" s="18" t="n"/>
      <c r="D100" s="19" t="n"/>
      <c r="E100" s="17" t="n"/>
      <c r="F100" s="17" t="n"/>
      <c r="G100" s="17" t="n"/>
      <c r="H100" s="17" t="n"/>
      <c r="I100" s="17" t="n"/>
      <c r="J100" s="17" t="n"/>
      <c r="K100" s="17" t="n"/>
      <c r="L100" s="20" t="n"/>
      <c r="M100" s="18" t="n"/>
      <c r="N100" s="17" t="n"/>
      <c r="O100" s="18" t="n"/>
      <c r="P100" s="17" t="n"/>
      <c r="Q100" s="17" t="n"/>
      <c r="R100" s="17" t="n"/>
      <c r="S100" s="17" t="n"/>
      <c r="T100" s="21">
        <f>IF(S100="","",IFERROR(INDEX(Carreras!$D$2:$D$152,MATCH(S100,Carreras!$A$2:$A$152,0)),"En Umbral"))</f>
        <v/>
      </c>
      <c r="U100" s="18" t="n"/>
      <c r="V100" s="18" t="n"/>
      <c r="W100" s="18" t="n"/>
      <c r="X100" s="17" t="n"/>
      <c r="Y100" s="22" t="n"/>
      <c r="Z100" s="17" t="n"/>
      <c r="AA100" s="17" t="n"/>
    </row>
    <row r="101">
      <c r="A101" s="17" t="n"/>
      <c r="B101" s="17" t="n"/>
      <c r="C101" s="18" t="n"/>
      <c r="D101" s="19" t="n"/>
      <c r="E101" s="17" t="n"/>
      <c r="F101" s="17" t="n"/>
      <c r="G101" s="17" t="n"/>
      <c r="H101" s="17" t="n"/>
      <c r="I101" s="17" t="n"/>
      <c r="J101" s="17" t="n"/>
      <c r="K101" s="17" t="n"/>
      <c r="L101" s="20" t="n"/>
      <c r="M101" s="18" t="n"/>
      <c r="N101" s="17" t="n"/>
      <c r="O101" s="18" t="n"/>
      <c r="P101" s="17" t="n"/>
      <c r="Q101" s="17" t="n"/>
      <c r="R101" s="17" t="n"/>
      <c r="S101" s="17" t="n"/>
      <c r="T101" s="21">
        <f>IF(S101="","",IFERROR(INDEX(Carreras!$D$2:$D$152,MATCH(S101,Carreras!$A$2:$A$152,0)),"En Umbral"))</f>
        <v/>
      </c>
      <c r="U101" s="18" t="n"/>
      <c r="V101" s="18" t="n"/>
      <c r="W101" s="18" t="n"/>
      <c r="X101" s="17" t="n"/>
      <c r="Y101" s="22" t="n"/>
      <c r="Z101" s="17" t="n"/>
      <c r="AA101" s="17" t="n"/>
    </row>
    <row r="102">
      <c r="A102" s="17" t="n"/>
      <c r="B102" s="17" t="n"/>
      <c r="C102" s="18" t="n"/>
      <c r="D102" s="19" t="n"/>
      <c r="E102" s="17" t="n"/>
      <c r="F102" s="17" t="n"/>
      <c r="G102" s="17" t="n"/>
      <c r="H102" s="17" t="n"/>
      <c r="I102" s="17" t="n"/>
      <c r="J102" s="17" t="n"/>
      <c r="K102" s="17" t="n"/>
      <c r="L102" s="20" t="n"/>
      <c r="M102" s="18" t="n"/>
      <c r="N102" s="17" t="n"/>
      <c r="O102" s="18" t="n"/>
      <c r="P102" s="17" t="n"/>
      <c r="Q102" s="17" t="n"/>
      <c r="R102" s="17" t="n"/>
      <c r="S102" s="17" t="n"/>
      <c r="T102" s="21">
        <f>IF(S102="","",IFERROR(INDEX(Carreras!$D$2:$D$152,MATCH(S102,Carreras!$A$2:$A$152,0)),"En Umbral"))</f>
        <v/>
      </c>
      <c r="U102" s="18" t="n"/>
      <c r="V102" s="18" t="n"/>
      <c r="W102" s="18" t="n"/>
      <c r="X102" s="17" t="n"/>
      <c r="Y102" s="22" t="n"/>
      <c r="Z102" s="17" t="n"/>
      <c r="AA102" s="17" t="n"/>
    </row>
    <row r="103">
      <c r="A103" s="17" t="n"/>
      <c r="B103" s="17" t="n"/>
      <c r="C103" s="18" t="n"/>
      <c r="D103" s="19" t="n"/>
      <c r="E103" s="17" t="n"/>
      <c r="F103" s="17" t="n"/>
      <c r="G103" s="17" t="n"/>
      <c r="H103" s="17" t="n"/>
      <c r="I103" s="17" t="n"/>
      <c r="J103" s="17" t="n"/>
      <c r="K103" s="17" t="n"/>
      <c r="L103" s="20" t="n"/>
      <c r="M103" s="18" t="n"/>
      <c r="N103" s="17" t="n"/>
      <c r="O103" s="18" t="n"/>
      <c r="P103" s="17" t="n"/>
      <c r="Q103" s="17" t="n"/>
      <c r="R103" s="17" t="n"/>
      <c r="S103" s="17" t="n"/>
      <c r="T103" s="21">
        <f>IF(S103="","",IFERROR(INDEX(Carreras!$D$2:$D$152,MATCH(S103,Carreras!$A$2:$A$152,0)),"En Umbral"))</f>
        <v/>
      </c>
      <c r="U103" s="18" t="n"/>
      <c r="V103" s="18" t="n"/>
      <c r="W103" s="18" t="n"/>
      <c r="X103" s="17" t="n"/>
      <c r="Y103" s="22" t="n"/>
      <c r="Z103" s="17" t="n"/>
      <c r="AA103" s="17" t="n"/>
    </row>
    <row r="104">
      <c r="A104" s="17" t="n"/>
      <c r="B104" s="17" t="n"/>
      <c r="C104" s="18" t="n"/>
      <c r="D104" s="19" t="n"/>
      <c r="E104" s="17" t="n"/>
      <c r="F104" s="17" t="n"/>
      <c r="G104" s="17" t="n"/>
      <c r="H104" s="17" t="n"/>
      <c r="I104" s="17" t="n"/>
      <c r="J104" s="17" t="n"/>
      <c r="K104" s="17" t="n"/>
      <c r="L104" s="20" t="n"/>
      <c r="M104" s="18" t="n"/>
      <c r="N104" s="17" t="n"/>
      <c r="O104" s="18" t="n"/>
      <c r="P104" s="17" t="n"/>
      <c r="Q104" s="17" t="n"/>
      <c r="R104" s="17" t="n"/>
      <c r="S104" s="17" t="n"/>
      <c r="T104" s="21">
        <f>IF(S104="","",IFERROR(INDEX(Carreras!$D$2:$D$152,MATCH(S104,Carreras!$A$2:$A$152,0)),"En Umbral"))</f>
        <v/>
      </c>
      <c r="U104" s="18" t="n"/>
      <c r="V104" s="18" t="n"/>
      <c r="W104" s="18" t="n"/>
      <c r="X104" s="17" t="n"/>
      <c r="Y104" s="22" t="n"/>
      <c r="Z104" s="17" t="n"/>
      <c r="AA104" s="17" t="n"/>
    </row>
    <row r="105">
      <c r="A105" s="17" t="n"/>
      <c r="B105" s="17" t="n"/>
      <c r="C105" s="18" t="n"/>
      <c r="D105" s="19" t="n"/>
      <c r="E105" s="17" t="n"/>
      <c r="F105" s="17" t="n"/>
      <c r="G105" s="17" t="n"/>
      <c r="H105" s="17" t="n"/>
      <c r="I105" s="17" t="n"/>
      <c r="J105" s="17" t="n"/>
      <c r="K105" s="17" t="n"/>
      <c r="L105" s="20" t="n"/>
      <c r="M105" s="18" t="n"/>
      <c r="N105" s="17" t="n"/>
      <c r="O105" s="18" t="n"/>
      <c r="P105" s="17" t="n"/>
      <c r="Q105" s="17" t="n"/>
      <c r="R105" s="17" t="n"/>
      <c r="S105" s="17" t="n"/>
      <c r="T105" s="21">
        <f>IF(S105="","",IFERROR(INDEX(Carreras!$D$2:$D$152,MATCH(S105,Carreras!$A$2:$A$152,0)),"En Umbral"))</f>
        <v/>
      </c>
      <c r="U105" s="18" t="n"/>
      <c r="V105" s="18" t="n"/>
      <c r="W105" s="18" t="n"/>
      <c r="X105" s="17" t="n"/>
      <c r="Y105" s="22" t="n"/>
      <c r="Z105" s="17" t="n"/>
      <c r="AA105" s="17" t="n"/>
    </row>
    <row r="106">
      <c r="A106" s="17" t="n"/>
      <c r="B106" s="17" t="n"/>
      <c r="C106" s="18" t="n"/>
      <c r="D106" s="19" t="n"/>
      <c r="E106" s="17" t="n"/>
      <c r="F106" s="17" t="n"/>
      <c r="G106" s="17" t="n"/>
      <c r="H106" s="17" t="n"/>
      <c r="I106" s="17" t="n"/>
      <c r="J106" s="17" t="n"/>
      <c r="K106" s="17" t="n"/>
      <c r="L106" s="20" t="n"/>
      <c r="M106" s="18" t="n"/>
      <c r="N106" s="17" t="n"/>
      <c r="O106" s="18" t="n"/>
      <c r="P106" s="17" t="n"/>
      <c r="Q106" s="17" t="n"/>
      <c r="R106" s="17" t="n"/>
      <c r="S106" s="17" t="n"/>
      <c r="T106" s="21">
        <f>IF(S106="","",IFERROR(INDEX(Carreras!$D$2:$D$152,MATCH(S106,Carreras!$A$2:$A$152,0)),"En Umbral"))</f>
        <v/>
      </c>
      <c r="U106" s="18" t="n"/>
      <c r="V106" s="18" t="n"/>
      <c r="W106" s="18" t="n"/>
      <c r="X106" s="17" t="n"/>
      <c r="Y106" s="22" t="n"/>
      <c r="Z106" s="17" t="n"/>
      <c r="AA106" s="17" t="n"/>
    </row>
    <row r="107">
      <c r="A107" s="17" t="n"/>
      <c r="B107" s="17" t="n"/>
      <c r="C107" s="18" t="n"/>
      <c r="D107" s="19" t="n"/>
      <c r="E107" s="17" t="n"/>
      <c r="F107" s="17" t="n"/>
      <c r="G107" s="17" t="n"/>
      <c r="H107" s="17" t="n"/>
      <c r="I107" s="17" t="n"/>
      <c r="J107" s="17" t="n"/>
      <c r="K107" s="17" t="n"/>
      <c r="L107" s="20" t="n"/>
      <c r="M107" s="18" t="n"/>
      <c r="N107" s="17" t="n"/>
      <c r="O107" s="18" t="n"/>
      <c r="P107" s="17" t="n"/>
      <c r="Q107" s="17" t="n"/>
      <c r="R107" s="17" t="n"/>
      <c r="S107" s="17" t="n"/>
      <c r="T107" s="21">
        <f>IF(S107="","",IFERROR(INDEX(Carreras!$D$2:$D$152,MATCH(S107,Carreras!$A$2:$A$152,0)),"En Umbral"))</f>
        <v/>
      </c>
      <c r="U107" s="18" t="n"/>
      <c r="V107" s="18" t="n"/>
      <c r="W107" s="18" t="n"/>
      <c r="X107" s="17" t="n"/>
      <c r="Y107" s="22" t="n"/>
      <c r="Z107" s="17" t="n"/>
      <c r="AA107" s="17" t="n"/>
    </row>
    <row r="108">
      <c r="A108" s="17" t="n"/>
      <c r="B108" s="17" t="n"/>
      <c r="C108" s="18" t="n"/>
      <c r="D108" s="19" t="n"/>
      <c r="E108" s="17" t="n"/>
      <c r="F108" s="17" t="n"/>
      <c r="G108" s="17" t="n"/>
      <c r="H108" s="17" t="n"/>
      <c r="I108" s="17" t="n"/>
      <c r="J108" s="17" t="n"/>
      <c r="K108" s="17" t="n"/>
      <c r="L108" s="20" t="n"/>
      <c r="M108" s="18" t="n"/>
      <c r="N108" s="17" t="n"/>
      <c r="O108" s="18" t="n"/>
      <c r="P108" s="17" t="n"/>
      <c r="Q108" s="17" t="n"/>
      <c r="R108" s="17" t="n"/>
      <c r="S108" s="17" t="n"/>
      <c r="T108" s="21">
        <f>IF(S108="","",IFERROR(INDEX(Carreras!$D$2:$D$152,MATCH(S108,Carreras!$A$2:$A$152,0)),"En Umbral"))</f>
        <v/>
      </c>
      <c r="U108" s="18" t="n"/>
      <c r="V108" s="18" t="n"/>
      <c r="W108" s="18" t="n"/>
      <c r="X108" s="17" t="n"/>
      <c r="Y108" s="22" t="n"/>
      <c r="Z108" s="17" t="n"/>
      <c r="AA108" s="17" t="n"/>
    </row>
    <row r="109">
      <c r="A109" s="17" t="n"/>
      <c r="B109" s="17" t="n"/>
      <c r="C109" s="18" t="n"/>
      <c r="D109" s="19" t="n"/>
      <c r="E109" s="17" t="n"/>
      <c r="F109" s="17" t="n"/>
      <c r="G109" s="17" t="n"/>
      <c r="H109" s="17" t="n"/>
      <c r="I109" s="17" t="n"/>
      <c r="J109" s="17" t="n"/>
      <c r="K109" s="17" t="n"/>
      <c r="L109" s="20" t="n"/>
      <c r="M109" s="18" t="n"/>
      <c r="N109" s="17" t="n"/>
      <c r="O109" s="18" t="n"/>
      <c r="P109" s="17" t="n"/>
      <c r="Q109" s="17" t="n"/>
      <c r="R109" s="17" t="n"/>
      <c r="S109" s="17" t="n"/>
      <c r="T109" s="21">
        <f>IF(S109="","",IFERROR(INDEX(Carreras!$D$2:$D$152,MATCH(S109,Carreras!$A$2:$A$152,0)),"En Umbral"))</f>
        <v/>
      </c>
      <c r="U109" s="18" t="n"/>
      <c r="V109" s="18" t="n"/>
      <c r="W109" s="18" t="n"/>
      <c r="X109" s="17" t="n"/>
      <c r="Y109" s="22" t="n"/>
      <c r="Z109" s="17" t="n"/>
      <c r="AA109" s="17" t="n"/>
    </row>
    <row r="110">
      <c r="A110" s="17" t="n"/>
      <c r="B110" s="17" t="n"/>
      <c r="C110" s="18" t="n"/>
      <c r="D110" s="19" t="n"/>
      <c r="E110" s="17" t="n"/>
      <c r="F110" s="17" t="n"/>
      <c r="G110" s="17" t="n"/>
      <c r="H110" s="17" t="n"/>
      <c r="I110" s="17" t="n"/>
      <c r="J110" s="17" t="n"/>
      <c r="K110" s="17" t="n"/>
      <c r="L110" s="20" t="n"/>
      <c r="M110" s="18" t="n"/>
      <c r="N110" s="17" t="n"/>
      <c r="O110" s="18" t="n"/>
      <c r="P110" s="17" t="n"/>
      <c r="Q110" s="17" t="n"/>
      <c r="R110" s="17" t="n"/>
      <c r="S110" s="17" t="n"/>
      <c r="T110" s="21">
        <f>IF(S110="","",IFERROR(INDEX(Carreras!$D$2:$D$152,MATCH(S110,Carreras!$A$2:$A$152,0)),"En Umbral"))</f>
        <v/>
      </c>
      <c r="U110" s="18" t="n"/>
      <c r="V110" s="18" t="n"/>
      <c r="W110" s="18" t="n"/>
      <c r="X110" s="17" t="n"/>
      <c r="Y110" s="22" t="n"/>
      <c r="Z110" s="17" t="n"/>
      <c r="AA110" s="17" t="n"/>
    </row>
    <row r="111">
      <c r="A111" s="17" t="n"/>
      <c r="B111" s="17" t="n"/>
      <c r="C111" s="18" t="n"/>
      <c r="D111" s="19" t="n"/>
      <c r="E111" s="17" t="n"/>
      <c r="F111" s="17" t="n"/>
      <c r="G111" s="17" t="n"/>
      <c r="H111" s="17" t="n"/>
      <c r="I111" s="17" t="n"/>
      <c r="J111" s="17" t="n"/>
      <c r="K111" s="17" t="n"/>
      <c r="L111" s="20" t="n"/>
      <c r="M111" s="18" t="n"/>
      <c r="N111" s="17" t="n"/>
      <c r="O111" s="18" t="n"/>
      <c r="P111" s="17" t="n"/>
      <c r="Q111" s="17" t="n"/>
      <c r="R111" s="17" t="n"/>
      <c r="S111" s="17" t="n"/>
      <c r="T111" s="21">
        <f>IF(S111="","",IFERROR(INDEX(Carreras!$D$2:$D$152,MATCH(S111,Carreras!$A$2:$A$152,0)),"En Umbral"))</f>
        <v/>
      </c>
      <c r="U111" s="18" t="n"/>
      <c r="V111" s="18" t="n"/>
      <c r="W111" s="18" t="n"/>
      <c r="X111" s="17" t="n"/>
      <c r="Y111" s="22" t="n"/>
      <c r="Z111" s="17" t="n"/>
      <c r="AA111" s="17" t="n"/>
    </row>
    <row r="112">
      <c r="A112" s="17" t="n"/>
      <c r="B112" s="17" t="n"/>
      <c r="C112" s="18" t="n"/>
      <c r="D112" s="19" t="n"/>
      <c r="E112" s="17" t="n"/>
      <c r="F112" s="17" t="n"/>
      <c r="G112" s="17" t="n"/>
      <c r="H112" s="17" t="n"/>
      <c r="I112" s="17" t="n"/>
      <c r="J112" s="17" t="n"/>
      <c r="K112" s="17" t="n"/>
      <c r="L112" s="20" t="n"/>
      <c r="M112" s="18" t="n"/>
      <c r="N112" s="17" t="n"/>
      <c r="O112" s="18" t="n"/>
      <c r="P112" s="17" t="n"/>
      <c r="Q112" s="17" t="n"/>
      <c r="R112" s="17" t="n"/>
      <c r="S112" s="17" t="n"/>
      <c r="T112" s="21">
        <f>IF(S112="","",IFERROR(INDEX(Carreras!$D$2:$D$152,MATCH(S112,Carreras!$A$2:$A$152,0)),"En Umbral"))</f>
        <v/>
      </c>
      <c r="U112" s="18" t="n"/>
      <c r="V112" s="18" t="n"/>
      <c r="W112" s="18" t="n"/>
      <c r="X112" s="17" t="n"/>
      <c r="Y112" s="22" t="n"/>
      <c r="Z112" s="17" t="n"/>
      <c r="AA112" s="17" t="n"/>
    </row>
    <row r="113">
      <c r="A113" s="17" t="n"/>
      <c r="B113" s="17" t="n"/>
      <c r="C113" s="18" t="n"/>
      <c r="D113" s="19" t="n"/>
      <c r="E113" s="17" t="n"/>
      <c r="F113" s="17" t="n"/>
      <c r="G113" s="17" t="n"/>
      <c r="H113" s="17" t="n"/>
      <c r="I113" s="17" t="n"/>
      <c r="J113" s="17" t="n"/>
      <c r="K113" s="17" t="n"/>
      <c r="L113" s="20" t="n"/>
      <c r="M113" s="18" t="n"/>
      <c r="N113" s="17" t="n"/>
      <c r="O113" s="18" t="n"/>
      <c r="P113" s="17" t="n"/>
      <c r="Q113" s="17" t="n"/>
      <c r="R113" s="17" t="n"/>
      <c r="S113" s="17" t="n"/>
      <c r="T113" s="21">
        <f>IF(S113="","",IFERROR(INDEX(Carreras!$D$2:$D$152,MATCH(S113,Carreras!$A$2:$A$152,0)),"En Umbral"))</f>
        <v/>
      </c>
      <c r="U113" s="18" t="n"/>
      <c r="V113" s="18" t="n"/>
      <c r="W113" s="18" t="n"/>
      <c r="X113" s="17" t="n"/>
      <c r="Y113" s="22" t="n"/>
      <c r="Z113" s="17" t="n"/>
      <c r="AA113" s="17" t="n"/>
    </row>
    <row r="114">
      <c r="A114" s="17" t="n"/>
      <c r="B114" s="17" t="n"/>
      <c r="C114" s="18" t="n"/>
      <c r="D114" s="19" t="n"/>
      <c r="E114" s="17" t="n"/>
      <c r="F114" s="17" t="n"/>
      <c r="G114" s="17" t="n"/>
      <c r="H114" s="17" t="n"/>
      <c r="I114" s="17" t="n"/>
      <c r="J114" s="17" t="n"/>
      <c r="K114" s="17" t="n"/>
      <c r="L114" s="20" t="n"/>
      <c r="M114" s="18" t="n"/>
      <c r="N114" s="17" t="n"/>
      <c r="O114" s="18" t="n"/>
      <c r="P114" s="17" t="n"/>
      <c r="Q114" s="17" t="n"/>
      <c r="R114" s="17" t="n"/>
      <c r="S114" s="17" t="n"/>
      <c r="T114" s="21">
        <f>IF(S114="","",IFERROR(INDEX(Carreras!$D$2:$D$152,MATCH(S114,Carreras!$A$2:$A$152,0)),"En Umbral"))</f>
        <v/>
      </c>
      <c r="U114" s="18" t="n"/>
      <c r="V114" s="18" t="n"/>
      <c r="W114" s="18" t="n"/>
      <c r="X114" s="17" t="n"/>
      <c r="Y114" s="22" t="n"/>
      <c r="Z114" s="17" t="n"/>
      <c r="AA114" s="17" t="n"/>
    </row>
    <row r="115">
      <c r="A115" s="17" t="n"/>
      <c r="B115" s="17" t="n"/>
      <c r="C115" s="18" t="n"/>
      <c r="D115" s="19" t="n"/>
      <c r="E115" s="17" t="n"/>
      <c r="F115" s="17" t="n"/>
      <c r="G115" s="17" t="n"/>
      <c r="H115" s="17" t="n"/>
      <c r="I115" s="17" t="n"/>
      <c r="J115" s="17" t="n"/>
      <c r="K115" s="17" t="n"/>
      <c r="L115" s="20" t="n"/>
      <c r="M115" s="18" t="n"/>
      <c r="N115" s="17" t="n"/>
      <c r="O115" s="18" t="n"/>
      <c r="P115" s="17" t="n"/>
      <c r="Q115" s="17" t="n"/>
      <c r="R115" s="17" t="n"/>
      <c r="S115" s="17" t="n"/>
      <c r="T115" s="21">
        <f>IF(S115="","",IFERROR(INDEX(Carreras!$D$2:$D$152,MATCH(S115,Carreras!$A$2:$A$152,0)),"En Umbral"))</f>
        <v/>
      </c>
      <c r="U115" s="18" t="n"/>
      <c r="V115" s="18" t="n"/>
      <c r="W115" s="18" t="n"/>
      <c r="X115" s="17" t="n"/>
      <c r="Y115" s="22" t="n"/>
      <c r="Z115" s="17" t="n"/>
      <c r="AA115" s="17" t="n"/>
    </row>
    <row r="116">
      <c r="A116" s="17" t="n"/>
      <c r="B116" s="17" t="n"/>
      <c r="C116" s="18" t="n"/>
      <c r="D116" s="19" t="n"/>
      <c r="E116" s="17" t="n"/>
      <c r="F116" s="17" t="n"/>
      <c r="G116" s="17" t="n"/>
      <c r="H116" s="17" t="n"/>
      <c r="I116" s="17" t="n"/>
      <c r="J116" s="17" t="n"/>
      <c r="K116" s="17" t="n"/>
      <c r="L116" s="20" t="n"/>
      <c r="M116" s="18" t="n"/>
      <c r="N116" s="17" t="n"/>
      <c r="O116" s="18" t="n"/>
      <c r="P116" s="17" t="n"/>
      <c r="Q116" s="17" t="n"/>
      <c r="R116" s="17" t="n"/>
      <c r="S116" s="17" t="n"/>
      <c r="T116" s="21">
        <f>IF(S116="","",IFERROR(INDEX(Carreras!$D$2:$D$152,MATCH(S116,Carreras!$A$2:$A$152,0)),"En Umbral"))</f>
        <v/>
      </c>
      <c r="U116" s="18" t="n"/>
      <c r="V116" s="18" t="n"/>
      <c r="W116" s="18" t="n"/>
      <c r="X116" s="17" t="n"/>
      <c r="Y116" s="22" t="n"/>
      <c r="Z116" s="17" t="n"/>
      <c r="AA116" s="17" t="n"/>
    </row>
    <row r="117">
      <c r="A117" s="17" t="n"/>
      <c r="B117" s="17" t="n"/>
      <c r="C117" s="18" t="n"/>
      <c r="D117" s="19" t="n"/>
      <c r="E117" s="17" t="n"/>
      <c r="F117" s="17" t="n"/>
      <c r="G117" s="17" t="n"/>
      <c r="H117" s="17" t="n"/>
      <c r="I117" s="17" t="n"/>
      <c r="J117" s="17" t="n"/>
      <c r="K117" s="17" t="n"/>
      <c r="L117" s="20" t="n"/>
      <c r="M117" s="18" t="n"/>
      <c r="N117" s="17" t="n"/>
      <c r="O117" s="18" t="n"/>
      <c r="P117" s="17" t="n"/>
      <c r="Q117" s="17" t="n"/>
      <c r="R117" s="17" t="n"/>
      <c r="S117" s="17" t="n"/>
      <c r="T117" s="21">
        <f>IF(S117="","",IFERROR(INDEX(Carreras!$D$2:$D$152,MATCH(S117,Carreras!$A$2:$A$152,0)),"En Umbral"))</f>
        <v/>
      </c>
      <c r="U117" s="18" t="n"/>
      <c r="V117" s="18" t="n"/>
      <c r="W117" s="18" t="n"/>
      <c r="X117" s="17" t="n"/>
      <c r="Y117" s="22" t="n"/>
      <c r="Z117" s="17" t="n"/>
      <c r="AA117" s="17" t="n"/>
    </row>
    <row r="118">
      <c r="A118" s="17" t="n"/>
      <c r="B118" s="17" t="n"/>
      <c r="C118" s="18" t="n"/>
      <c r="D118" s="19" t="n"/>
      <c r="E118" s="17" t="n"/>
      <c r="F118" s="17" t="n"/>
      <c r="G118" s="17" t="n"/>
      <c r="H118" s="17" t="n"/>
      <c r="I118" s="17" t="n"/>
      <c r="J118" s="17" t="n"/>
      <c r="K118" s="17" t="n"/>
      <c r="L118" s="20" t="n"/>
      <c r="M118" s="18" t="n"/>
      <c r="N118" s="17" t="n"/>
      <c r="O118" s="18" t="n"/>
      <c r="P118" s="17" t="n"/>
      <c r="Q118" s="17" t="n"/>
      <c r="R118" s="17" t="n"/>
      <c r="S118" s="17" t="n"/>
      <c r="T118" s="21">
        <f>IF(S118="","",IFERROR(INDEX(Carreras!$D$2:$D$152,MATCH(S118,Carreras!$A$2:$A$152,0)),"En Umbral"))</f>
        <v/>
      </c>
      <c r="U118" s="18" t="n"/>
      <c r="V118" s="18" t="n"/>
      <c r="W118" s="18" t="n"/>
      <c r="X118" s="17" t="n"/>
      <c r="Y118" s="22" t="n"/>
      <c r="Z118" s="17" t="n"/>
      <c r="AA118" s="17" t="n"/>
    </row>
    <row r="119">
      <c r="A119" s="17" t="n"/>
      <c r="B119" s="17" t="n"/>
      <c r="C119" s="18" t="n"/>
      <c r="D119" s="19" t="n"/>
      <c r="E119" s="17" t="n"/>
      <c r="F119" s="17" t="n"/>
      <c r="G119" s="17" t="n"/>
      <c r="H119" s="17" t="n"/>
      <c r="I119" s="17" t="n"/>
      <c r="J119" s="17" t="n"/>
      <c r="K119" s="17" t="n"/>
      <c r="L119" s="20" t="n"/>
      <c r="M119" s="18" t="n"/>
      <c r="N119" s="17" t="n"/>
      <c r="O119" s="18" t="n"/>
      <c r="P119" s="17" t="n"/>
      <c r="Q119" s="17" t="n"/>
      <c r="R119" s="17" t="n"/>
      <c r="S119" s="17" t="n"/>
      <c r="T119" s="21">
        <f>IF(S119="","",IFERROR(INDEX(Carreras!$D$2:$D$152,MATCH(S119,Carreras!$A$2:$A$152,0)),"En Umbral"))</f>
        <v/>
      </c>
      <c r="U119" s="18" t="n"/>
      <c r="V119" s="18" t="n"/>
      <c r="W119" s="18" t="n"/>
      <c r="X119" s="17" t="n"/>
      <c r="Y119" s="22" t="n"/>
      <c r="Z119" s="17" t="n"/>
      <c r="AA119" s="17" t="n"/>
    </row>
    <row r="120">
      <c r="A120" s="17" t="n"/>
      <c r="B120" s="17" t="n"/>
      <c r="C120" s="18" t="n"/>
      <c r="D120" s="19" t="n"/>
      <c r="E120" s="17" t="n"/>
      <c r="F120" s="17" t="n"/>
      <c r="G120" s="17" t="n"/>
      <c r="H120" s="17" t="n"/>
      <c r="I120" s="17" t="n"/>
      <c r="J120" s="17" t="n"/>
      <c r="K120" s="17" t="n"/>
      <c r="L120" s="20" t="n"/>
      <c r="M120" s="18" t="n"/>
      <c r="N120" s="17" t="n"/>
      <c r="O120" s="18" t="n"/>
      <c r="P120" s="17" t="n"/>
      <c r="Q120" s="17" t="n"/>
      <c r="R120" s="17" t="n"/>
      <c r="S120" s="17" t="n"/>
      <c r="T120" s="21">
        <f>IF(S120="","",IFERROR(INDEX(Carreras!$D$2:$D$152,MATCH(S120,Carreras!$A$2:$A$152,0)),"En Umbral"))</f>
        <v/>
      </c>
      <c r="U120" s="18" t="n"/>
      <c r="V120" s="18" t="n"/>
      <c r="W120" s="18" t="n"/>
      <c r="X120" s="17" t="n"/>
      <c r="Y120" s="22" t="n"/>
      <c r="Z120" s="17" t="n"/>
      <c r="AA120" s="17" t="n"/>
    </row>
    <row r="121">
      <c r="A121" s="17" t="n"/>
      <c r="B121" s="17" t="n"/>
      <c r="C121" s="18" t="n"/>
      <c r="D121" s="19" t="n"/>
      <c r="E121" s="17" t="n"/>
      <c r="F121" s="17" t="n"/>
      <c r="G121" s="17" t="n"/>
      <c r="H121" s="17" t="n"/>
      <c r="I121" s="17" t="n"/>
      <c r="J121" s="17" t="n"/>
      <c r="K121" s="17" t="n"/>
      <c r="L121" s="20" t="n"/>
      <c r="M121" s="18" t="n"/>
      <c r="N121" s="17" t="n"/>
      <c r="O121" s="18" t="n"/>
      <c r="P121" s="17" t="n"/>
      <c r="Q121" s="17" t="n"/>
      <c r="R121" s="17" t="n"/>
      <c r="S121" s="17" t="n"/>
      <c r="T121" s="21">
        <f>IF(S121="","",IFERROR(INDEX(Carreras!$D$2:$D$152,MATCH(S121,Carreras!$A$2:$A$152,0)),"En Umbral"))</f>
        <v/>
      </c>
      <c r="U121" s="18" t="n"/>
      <c r="V121" s="18" t="n"/>
      <c r="W121" s="18" t="n"/>
      <c r="X121" s="17" t="n"/>
      <c r="Y121" s="22" t="n"/>
      <c r="Z121" s="17" t="n"/>
      <c r="AA121" s="17" t="n"/>
    </row>
    <row r="122">
      <c r="A122" s="17" t="n"/>
      <c r="B122" s="17" t="n"/>
      <c r="C122" s="18" t="n"/>
      <c r="D122" s="19" t="n"/>
      <c r="E122" s="17" t="n"/>
      <c r="F122" s="17" t="n"/>
      <c r="G122" s="17" t="n"/>
      <c r="H122" s="17" t="n"/>
      <c r="I122" s="17" t="n"/>
      <c r="J122" s="17" t="n"/>
      <c r="K122" s="17" t="n"/>
      <c r="L122" s="20" t="n"/>
      <c r="M122" s="18" t="n"/>
      <c r="N122" s="17" t="n"/>
      <c r="O122" s="18" t="n"/>
      <c r="P122" s="17" t="n"/>
      <c r="Q122" s="17" t="n"/>
      <c r="R122" s="17" t="n"/>
      <c r="S122" s="17" t="n"/>
      <c r="T122" s="21">
        <f>IF(S122="","",IFERROR(INDEX(Carreras!$D$2:$D$152,MATCH(S122,Carreras!$A$2:$A$152,0)),"En Umbral"))</f>
        <v/>
      </c>
      <c r="U122" s="18" t="n"/>
      <c r="V122" s="18" t="n"/>
      <c r="W122" s="18" t="n"/>
      <c r="X122" s="17" t="n"/>
      <c r="Y122" s="22" t="n"/>
      <c r="Z122" s="17" t="n"/>
      <c r="AA122" s="17" t="n"/>
    </row>
    <row r="123">
      <c r="A123" s="17" t="n"/>
      <c r="B123" s="17" t="n"/>
      <c r="C123" s="18" t="n"/>
      <c r="D123" s="19" t="n"/>
      <c r="E123" s="17" t="n"/>
      <c r="F123" s="17" t="n"/>
      <c r="G123" s="17" t="n"/>
      <c r="H123" s="17" t="n"/>
      <c r="I123" s="17" t="n"/>
      <c r="J123" s="17" t="n"/>
      <c r="K123" s="17" t="n"/>
      <c r="L123" s="20" t="n"/>
      <c r="M123" s="18" t="n"/>
      <c r="N123" s="17" t="n"/>
      <c r="O123" s="18" t="n"/>
      <c r="P123" s="17" t="n"/>
      <c r="Q123" s="17" t="n"/>
      <c r="R123" s="17" t="n"/>
      <c r="S123" s="17" t="n"/>
      <c r="T123" s="21">
        <f>IF(S123="","",IFERROR(INDEX(Carreras!$D$2:$D$152,MATCH(S123,Carreras!$A$2:$A$152,0)),"En Umbral"))</f>
        <v/>
      </c>
      <c r="U123" s="18" t="n"/>
      <c r="V123" s="18" t="n"/>
      <c r="W123" s="18" t="n"/>
      <c r="X123" s="17" t="n"/>
      <c r="Y123" s="22" t="n"/>
      <c r="Z123" s="17" t="n"/>
      <c r="AA123" s="17" t="n"/>
    </row>
    <row r="124">
      <c r="A124" s="17" t="n"/>
      <c r="B124" s="17" t="n"/>
      <c r="C124" s="18" t="n"/>
      <c r="D124" s="19" t="n"/>
      <c r="E124" s="17" t="n"/>
      <c r="F124" s="17" t="n"/>
      <c r="G124" s="17" t="n"/>
      <c r="H124" s="17" t="n"/>
      <c r="I124" s="17" t="n"/>
      <c r="J124" s="17" t="n"/>
      <c r="K124" s="17" t="n"/>
      <c r="L124" s="20" t="n"/>
      <c r="M124" s="18" t="n"/>
      <c r="N124" s="17" t="n"/>
      <c r="O124" s="18" t="n"/>
      <c r="P124" s="17" t="n"/>
      <c r="Q124" s="17" t="n"/>
      <c r="R124" s="17" t="n"/>
      <c r="S124" s="17" t="n"/>
      <c r="T124" s="21">
        <f>IF(S124="","",IFERROR(INDEX(Carreras!$D$2:$D$152,MATCH(S124,Carreras!$A$2:$A$152,0)),"En Umbral"))</f>
        <v/>
      </c>
      <c r="U124" s="18" t="n"/>
      <c r="V124" s="18" t="n"/>
      <c r="W124" s="18" t="n"/>
      <c r="X124" s="17" t="n"/>
      <c r="Y124" s="22" t="n"/>
      <c r="Z124" s="17" t="n"/>
      <c r="AA124" s="17" t="n"/>
    </row>
    <row r="125">
      <c r="A125" s="17" t="n"/>
      <c r="B125" s="17" t="n"/>
      <c r="C125" s="18" t="n"/>
      <c r="D125" s="19" t="n"/>
      <c r="E125" s="17" t="n"/>
      <c r="F125" s="17" t="n"/>
      <c r="G125" s="17" t="n"/>
      <c r="H125" s="17" t="n"/>
      <c r="I125" s="17" t="n"/>
      <c r="J125" s="17" t="n"/>
      <c r="K125" s="17" t="n"/>
      <c r="L125" s="20" t="n"/>
      <c r="M125" s="18" t="n"/>
      <c r="N125" s="17" t="n"/>
      <c r="O125" s="18" t="n"/>
      <c r="P125" s="17" t="n"/>
      <c r="Q125" s="17" t="n"/>
      <c r="R125" s="17" t="n"/>
      <c r="S125" s="17" t="n"/>
      <c r="T125" s="21">
        <f>IF(S125="","",IFERROR(INDEX(Carreras!$D$2:$D$152,MATCH(S125,Carreras!$A$2:$A$152,0)),"En Umbral"))</f>
        <v/>
      </c>
      <c r="U125" s="18" t="n"/>
      <c r="V125" s="18" t="n"/>
      <c r="W125" s="18" t="n"/>
      <c r="X125" s="17" t="n"/>
      <c r="Y125" s="22" t="n"/>
      <c r="Z125" s="17" t="n"/>
      <c r="AA125" s="17" t="n"/>
    </row>
    <row r="126">
      <c r="A126" s="17" t="n"/>
      <c r="B126" s="17" t="n"/>
      <c r="C126" s="18" t="n"/>
      <c r="D126" s="19" t="n"/>
      <c r="E126" s="17" t="n"/>
      <c r="F126" s="17" t="n"/>
      <c r="G126" s="17" t="n"/>
      <c r="H126" s="17" t="n"/>
      <c r="I126" s="17" t="n"/>
      <c r="J126" s="17" t="n"/>
      <c r="K126" s="17" t="n"/>
      <c r="L126" s="20" t="n"/>
      <c r="M126" s="18" t="n"/>
      <c r="N126" s="17" t="n"/>
      <c r="O126" s="18" t="n"/>
      <c r="P126" s="17" t="n"/>
      <c r="Q126" s="17" t="n"/>
      <c r="R126" s="17" t="n"/>
      <c r="S126" s="17" t="n"/>
      <c r="T126" s="21">
        <f>IF(S126="","",IFERROR(INDEX(Carreras!$D$2:$D$152,MATCH(S126,Carreras!$A$2:$A$152,0)),"En Umbral"))</f>
        <v/>
      </c>
      <c r="U126" s="18" t="n"/>
      <c r="V126" s="18" t="n"/>
      <c r="W126" s="18" t="n"/>
      <c r="X126" s="17" t="n"/>
      <c r="Y126" s="22" t="n"/>
      <c r="Z126" s="17" t="n"/>
      <c r="AA126" s="17" t="n"/>
    </row>
    <row r="127">
      <c r="A127" s="17" t="n"/>
      <c r="B127" s="17" t="n"/>
      <c r="C127" s="18" t="n"/>
      <c r="D127" s="19" t="n"/>
      <c r="E127" s="17" t="n"/>
      <c r="F127" s="17" t="n"/>
      <c r="G127" s="17" t="n"/>
      <c r="H127" s="17" t="n"/>
      <c r="I127" s="17" t="n"/>
      <c r="J127" s="17" t="n"/>
      <c r="K127" s="17" t="n"/>
      <c r="L127" s="20" t="n"/>
      <c r="M127" s="18" t="n"/>
      <c r="N127" s="17" t="n"/>
      <c r="O127" s="18" t="n"/>
      <c r="P127" s="17" t="n"/>
      <c r="Q127" s="17" t="n"/>
      <c r="R127" s="17" t="n"/>
      <c r="S127" s="17" t="n"/>
      <c r="T127" s="21">
        <f>IF(S127="","",IFERROR(INDEX(Carreras!$D$2:$D$152,MATCH(S127,Carreras!$A$2:$A$152,0)),"En Umbral"))</f>
        <v/>
      </c>
      <c r="U127" s="18" t="n"/>
      <c r="V127" s="18" t="n"/>
      <c r="W127" s="18" t="n"/>
      <c r="X127" s="17" t="n"/>
      <c r="Y127" s="22" t="n"/>
      <c r="Z127" s="17" t="n"/>
      <c r="AA127" s="17" t="n"/>
    </row>
    <row r="128">
      <c r="A128" s="17" t="n"/>
      <c r="B128" s="17" t="n"/>
      <c r="C128" s="18" t="n"/>
      <c r="D128" s="19" t="n"/>
      <c r="E128" s="17" t="n"/>
      <c r="F128" s="17" t="n"/>
      <c r="G128" s="17" t="n"/>
      <c r="H128" s="17" t="n"/>
      <c r="I128" s="17" t="n"/>
      <c r="J128" s="17" t="n"/>
      <c r="K128" s="17" t="n"/>
      <c r="L128" s="20" t="n"/>
      <c r="M128" s="18" t="n"/>
      <c r="N128" s="17" t="n"/>
      <c r="O128" s="18" t="n"/>
      <c r="P128" s="17" t="n"/>
      <c r="Q128" s="17" t="n"/>
      <c r="R128" s="17" t="n"/>
      <c r="S128" s="17" t="n"/>
      <c r="T128" s="21">
        <f>IF(S128="","",IFERROR(INDEX(Carreras!$D$2:$D$152,MATCH(S128,Carreras!$A$2:$A$152,0)),"En Umbral"))</f>
        <v/>
      </c>
      <c r="U128" s="18" t="n"/>
      <c r="V128" s="18" t="n"/>
      <c r="W128" s="18" t="n"/>
      <c r="X128" s="17" t="n"/>
      <c r="Y128" s="22" t="n"/>
      <c r="Z128" s="17" t="n"/>
      <c r="AA128" s="17" t="n"/>
    </row>
    <row r="129">
      <c r="A129" s="17" t="n"/>
      <c r="B129" s="17" t="n"/>
      <c r="C129" s="18" t="n"/>
      <c r="D129" s="19" t="n"/>
      <c r="E129" s="17" t="n"/>
      <c r="F129" s="17" t="n"/>
      <c r="G129" s="17" t="n"/>
      <c r="H129" s="17" t="n"/>
      <c r="I129" s="17" t="n"/>
      <c r="J129" s="17" t="n"/>
      <c r="K129" s="17" t="n"/>
      <c r="L129" s="20" t="n"/>
      <c r="M129" s="18" t="n"/>
      <c r="N129" s="17" t="n"/>
      <c r="O129" s="18" t="n"/>
      <c r="P129" s="17" t="n"/>
      <c r="Q129" s="17" t="n"/>
      <c r="R129" s="17" t="n"/>
      <c r="S129" s="17" t="n"/>
      <c r="T129" s="21">
        <f>IF(S129="","",IFERROR(INDEX(Carreras!$D$2:$D$152,MATCH(S129,Carreras!$A$2:$A$152,0)),"En Umbral"))</f>
        <v/>
      </c>
      <c r="U129" s="18" t="n"/>
      <c r="V129" s="18" t="n"/>
      <c r="W129" s="18" t="n"/>
      <c r="X129" s="17" t="n"/>
      <c r="Y129" s="22" t="n"/>
      <c r="Z129" s="17" t="n"/>
      <c r="AA129" s="17" t="n"/>
    </row>
    <row r="130">
      <c r="A130" s="17" t="n"/>
      <c r="B130" s="17" t="n"/>
      <c r="C130" s="18" t="n"/>
      <c r="D130" s="19" t="n"/>
      <c r="E130" s="17" t="n"/>
      <c r="F130" s="17" t="n"/>
      <c r="G130" s="17" t="n"/>
      <c r="H130" s="17" t="n"/>
      <c r="I130" s="17" t="n"/>
      <c r="J130" s="17" t="n"/>
      <c r="K130" s="17" t="n"/>
      <c r="L130" s="20" t="n"/>
      <c r="M130" s="18" t="n"/>
      <c r="N130" s="17" t="n"/>
      <c r="O130" s="18" t="n"/>
      <c r="P130" s="17" t="n"/>
      <c r="Q130" s="17" t="n"/>
      <c r="R130" s="17" t="n"/>
      <c r="S130" s="17" t="n"/>
      <c r="T130" s="21">
        <f>IF(S130="","",IFERROR(INDEX(Carreras!$D$2:$D$152,MATCH(S130,Carreras!$A$2:$A$152,0)),"En Umbral"))</f>
        <v/>
      </c>
      <c r="U130" s="18" t="n"/>
      <c r="V130" s="18" t="n"/>
      <c r="W130" s="18" t="n"/>
      <c r="X130" s="17" t="n"/>
      <c r="Y130" s="22" t="n"/>
      <c r="Z130" s="17" t="n"/>
      <c r="AA130" s="17" t="n"/>
    </row>
    <row r="131">
      <c r="A131" s="17" t="n"/>
      <c r="B131" s="17" t="n"/>
      <c r="C131" s="18" t="n"/>
      <c r="D131" s="19" t="n"/>
      <c r="E131" s="17" t="n"/>
      <c r="F131" s="17" t="n"/>
      <c r="G131" s="17" t="n"/>
      <c r="H131" s="17" t="n"/>
      <c r="I131" s="17" t="n"/>
      <c r="J131" s="17" t="n"/>
      <c r="K131" s="17" t="n"/>
      <c r="L131" s="20" t="n"/>
      <c r="M131" s="18" t="n"/>
      <c r="N131" s="17" t="n"/>
      <c r="O131" s="18" t="n"/>
      <c r="P131" s="17" t="n"/>
      <c r="Q131" s="17" t="n"/>
      <c r="R131" s="17" t="n"/>
      <c r="S131" s="17" t="n"/>
      <c r="T131" s="21">
        <f>IF(S131="","",IFERROR(INDEX(Carreras!$D$2:$D$152,MATCH(S131,Carreras!$A$2:$A$152,0)),"En Umbral"))</f>
        <v/>
      </c>
      <c r="U131" s="18" t="n"/>
      <c r="V131" s="18" t="n"/>
      <c r="W131" s="18" t="n"/>
      <c r="X131" s="17" t="n"/>
      <c r="Y131" s="22" t="n"/>
      <c r="Z131" s="17" t="n"/>
      <c r="AA131" s="17" t="n"/>
    </row>
    <row r="132">
      <c r="A132" s="17" t="n"/>
      <c r="B132" s="17" t="n"/>
      <c r="C132" s="18" t="n"/>
      <c r="D132" s="19" t="n"/>
      <c r="E132" s="17" t="n"/>
      <c r="F132" s="17" t="n"/>
      <c r="G132" s="17" t="n"/>
      <c r="H132" s="17" t="n"/>
      <c r="I132" s="17" t="n"/>
      <c r="J132" s="17" t="n"/>
      <c r="K132" s="17" t="n"/>
      <c r="L132" s="20" t="n"/>
      <c r="M132" s="18" t="n"/>
      <c r="N132" s="17" t="n"/>
      <c r="O132" s="18" t="n"/>
      <c r="P132" s="17" t="n"/>
      <c r="Q132" s="17" t="n"/>
      <c r="R132" s="17" t="n"/>
      <c r="S132" s="17" t="n"/>
      <c r="T132" s="21">
        <f>IF(S132="","",IFERROR(INDEX(Carreras!$D$2:$D$152,MATCH(S132,Carreras!$A$2:$A$152,0)),"En Umbral"))</f>
        <v/>
      </c>
      <c r="U132" s="18" t="n"/>
      <c r="V132" s="18" t="n"/>
      <c r="W132" s="18" t="n"/>
      <c r="X132" s="17" t="n"/>
      <c r="Y132" s="22" t="n"/>
      <c r="Z132" s="17" t="n"/>
      <c r="AA132" s="17" t="n"/>
    </row>
    <row r="133">
      <c r="A133" s="17" t="n"/>
      <c r="B133" s="17" t="n"/>
      <c r="C133" s="18" t="n"/>
      <c r="D133" s="19" t="n"/>
      <c r="E133" s="17" t="n"/>
      <c r="F133" s="17" t="n"/>
      <c r="G133" s="17" t="n"/>
      <c r="H133" s="17" t="n"/>
      <c r="I133" s="17" t="n"/>
      <c r="J133" s="17" t="n"/>
      <c r="K133" s="17" t="n"/>
      <c r="L133" s="20" t="n"/>
      <c r="M133" s="18" t="n"/>
      <c r="N133" s="17" t="n"/>
      <c r="O133" s="18" t="n"/>
      <c r="P133" s="17" t="n"/>
      <c r="Q133" s="17" t="n"/>
      <c r="R133" s="17" t="n"/>
      <c r="S133" s="17" t="n"/>
      <c r="T133" s="21">
        <f>IF(S133="","",IFERROR(INDEX(Carreras!$D$2:$D$152,MATCH(S133,Carreras!$A$2:$A$152,0)),"En Umbral"))</f>
        <v/>
      </c>
      <c r="U133" s="18" t="n"/>
      <c r="V133" s="18" t="n"/>
      <c r="W133" s="18" t="n"/>
      <c r="X133" s="17" t="n"/>
      <c r="Y133" s="22" t="n"/>
      <c r="Z133" s="17" t="n"/>
      <c r="AA133" s="17" t="n"/>
    </row>
    <row r="134">
      <c r="A134" s="17" t="n"/>
      <c r="B134" s="17" t="n"/>
      <c r="C134" s="18" t="n"/>
      <c r="D134" s="19" t="n"/>
      <c r="E134" s="17" t="n"/>
      <c r="F134" s="17" t="n"/>
      <c r="G134" s="17" t="n"/>
      <c r="H134" s="17" t="n"/>
      <c r="I134" s="17" t="n"/>
      <c r="J134" s="17" t="n"/>
      <c r="K134" s="17" t="n"/>
      <c r="L134" s="20" t="n"/>
      <c r="M134" s="18" t="n"/>
      <c r="N134" s="17" t="n"/>
      <c r="O134" s="18" t="n"/>
      <c r="P134" s="17" t="n"/>
      <c r="Q134" s="17" t="n"/>
      <c r="R134" s="17" t="n"/>
      <c r="S134" s="17" t="n"/>
      <c r="T134" s="21">
        <f>IF(S134="","",IFERROR(INDEX(Carreras!$D$2:$D$152,MATCH(S134,Carreras!$A$2:$A$152,0)),"En Umbral"))</f>
        <v/>
      </c>
      <c r="U134" s="18" t="n"/>
      <c r="V134" s="18" t="n"/>
      <c r="W134" s="18" t="n"/>
      <c r="X134" s="17" t="n"/>
      <c r="Y134" s="22" t="n"/>
      <c r="Z134" s="17" t="n"/>
      <c r="AA134" s="17" t="n"/>
    </row>
    <row r="135">
      <c r="A135" s="17" t="n"/>
      <c r="B135" s="17" t="n"/>
      <c r="C135" s="18" t="n"/>
      <c r="D135" s="19" t="n"/>
      <c r="E135" s="17" t="n"/>
      <c r="F135" s="17" t="n"/>
      <c r="G135" s="17" t="n"/>
      <c r="H135" s="17" t="n"/>
      <c r="I135" s="17" t="n"/>
      <c r="J135" s="17" t="n"/>
      <c r="K135" s="17" t="n"/>
      <c r="L135" s="20" t="n"/>
      <c r="M135" s="18" t="n"/>
      <c r="N135" s="17" t="n"/>
      <c r="O135" s="18" t="n"/>
      <c r="P135" s="17" t="n"/>
      <c r="Q135" s="17" t="n"/>
      <c r="R135" s="17" t="n"/>
      <c r="S135" s="17" t="n"/>
      <c r="T135" s="21">
        <f>IF(S135="","",IFERROR(INDEX(Carreras!$D$2:$D$152,MATCH(S135,Carreras!$A$2:$A$152,0)),"En Umbral"))</f>
        <v/>
      </c>
      <c r="U135" s="18" t="n"/>
      <c r="V135" s="18" t="n"/>
      <c r="W135" s="18" t="n"/>
      <c r="X135" s="17" t="n"/>
      <c r="Y135" s="22" t="n"/>
      <c r="Z135" s="17" t="n"/>
      <c r="AA135" s="17" t="n"/>
    </row>
    <row r="136">
      <c r="A136" s="17" t="n"/>
      <c r="B136" s="17" t="n"/>
      <c r="C136" s="18" t="n"/>
      <c r="D136" s="19" t="n"/>
      <c r="E136" s="17" t="n"/>
      <c r="F136" s="17" t="n"/>
      <c r="G136" s="17" t="n"/>
      <c r="H136" s="17" t="n"/>
      <c r="I136" s="17" t="n"/>
      <c r="J136" s="17" t="n"/>
      <c r="K136" s="17" t="n"/>
      <c r="L136" s="20" t="n"/>
      <c r="M136" s="18" t="n"/>
      <c r="N136" s="17" t="n"/>
      <c r="O136" s="18" t="n"/>
      <c r="P136" s="17" t="n"/>
      <c r="Q136" s="17" t="n"/>
      <c r="R136" s="17" t="n"/>
      <c r="S136" s="17" t="n"/>
      <c r="T136" s="21">
        <f>IF(S136="","",IFERROR(INDEX(Carreras!$D$2:$D$152,MATCH(S136,Carreras!$A$2:$A$152,0)),"En Umbral"))</f>
        <v/>
      </c>
      <c r="U136" s="18" t="n"/>
      <c r="V136" s="18" t="n"/>
      <c r="W136" s="18" t="n"/>
      <c r="X136" s="17" t="n"/>
      <c r="Y136" s="22" t="n"/>
      <c r="Z136" s="17" t="n"/>
      <c r="AA136" s="17" t="n"/>
    </row>
    <row r="137">
      <c r="A137" s="17" t="n"/>
      <c r="B137" s="17" t="n"/>
      <c r="C137" s="18" t="n"/>
      <c r="D137" s="19" t="n"/>
      <c r="E137" s="17" t="n"/>
      <c r="F137" s="17" t="n"/>
      <c r="G137" s="17" t="n"/>
      <c r="H137" s="17" t="n"/>
      <c r="I137" s="17" t="n"/>
      <c r="J137" s="17" t="n"/>
      <c r="K137" s="17" t="n"/>
      <c r="L137" s="20" t="n"/>
      <c r="M137" s="18" t="n"/>
      <c r="N137" s="17" t="n"/>
      <c r="O137" s="18" t="n"/>
      <c r="P137" s="17" t="n"/>
      <c r="Q137" s="17" t="n"/>
      <c r="R137" s="17" t="n"/>
      <c r="S137" s="17" t="n"/>
      <c r="T137" s="21">
        <f>IF(S137="","",IFERROR(INDEX(Carreras!$D$2:$D$152,MATCH(S137,Carreras!$A$2:$A$152,0)),"En Umbral"))</f>
        <v/>
      </c>
      <c r="U137" s="18" t="n"/>
      <c r="V137" s="18" t="n"/>
      <c r="W137" s="18" t="n"/>
      <c r="X137" s="17" t="n"/>
      <c r="Y137" s="22" t="n"/>
      <c r="Z137" s="17" t="n"/>
      <c r="AA137" s="17" t="n"/>
    </row>
    <row r="138">
      <c r="A138" s="17" t="n"/>
      <c r="B138" s="17" t="n"/>
      <c r="C138" s="18" t="n"/>
      <c r="D138" s="19" t="n"/>
      <c r="E138" s="17" t="n"/>
      <c r="F138" s="17" t="n"/>
      <c r="G138" s="17" t="n"/>
      <c r="H138" s="17" t="n"/>
      <c r="I138" s="17" t="n"/>
      <c r="J138" s="17" t="n"/>
      <c r="K138" s="17" t="n"/>
      <c r="L138" s="20" t="n"/>
      <c r="M138" s="18" t="n"/>
      <c r="N138" s="17" t="n"/>
      <c r="O138" s="18" t="n"/>
      <c r="P138" s="17" t="n"/>
      <c r="Q138" s="17" t="n"/>
      <c r="R138" s="17" t="n"/>
      <c r="S138" s="17" t="n"/>
      <c r="T138" s="21">
        <f>IF(S138="","",IFERROR(INDEX(Carreras!$D$2:$D$152,MATCH(S138,Carreras!$A$2:$A$152,0)),"En Umbral"))</f>
        <v/>
      </c>
      <c r="U138" s="18" t="n"/>
      <c r="V138" s="18" t="n"/>
      <c r="W138" s="18" t="n"/>
      <c r="X138" s="17" t="n"/>
      <c r="Y138" s="22" t="n"/>
      <c r="Z138" s="17" t="n"/>
      <c r="AA138" s="17" t="n"/>
    </row>
    <row r="139">
      <c r="A139" s="17" t="n"/>
      <c r="B139" s="17" t="n"/>
      <c r="C139" s="18" t="n"/>
      <c r="D139" s="19" t="n"/>
      <c r="E139" s="17" t="n"/>
      <c r="F139" s="17" t="n"/>
      <c r="G139" s="17" t="n"/>
      <c r="H139" s="17" t="n"/>
      <c r="I139" s="17" t="n"/>
      <c r="J139" s="17" t="n"/>
      <c r="K139" s="17" t="n"/>
      <c r="L139" s="20" t="n"/>
      <c r="M139" s="18" t="n"/>
      <c r="N139" s="17" t="n"/>
      <c r="O139" s="18" t="n"/>
      <c r="P139" s="17" t="n"/>
      <c r="Q139" s="17" t="n"/>
      <c r="R139" s="17" t="n"/>
      <c r="S139" s="17" t="n"/>
      <c r="T139" s="21">
        <f>IF(S139="","",IFERROR(INDEX(Carreras!$D$2:$D$152,MATCH(S139,Carreras!$A$2:$A$152,0)),"En Umbral"))</f>
        <v/>
      </c>
      <c r="U139" s="18" t="n"/>
      <c r="V139" s="18" t="n"/>
      <c r="W139" s="18" t="n"/>
      <c r="X139" s="17" t="n"/>
      <c r="Y139" s="22" t="n"/>
      <c r="Z139" s="17" t="n"/>
      <c r="AA139" s="17" t="n"/>
    </row>
    <row r="140">
      <c r="A140" s="17" t="n"/>
      <c r="B140" s="17" t="n"/>
      <c r="C140" s="18" t="n"/>
      <c r="D140" s="19" t="n"/>
      <c r="E140" s="17" t="n"/>
      <c r="F140" s="17" t="n"/>
      <c r="G140" s="17" t="n"/>
      <c r="H140" s="17" t="n"/>
      <c r="I140" s="17" t="n"/>
      <c r="J140" s="17" t="n"/>
      <c r="K140" s="17" t="n"/>
      <c r="L140" s="20" t="n"/>
      <c r="M140" s="18" t="n"/>
      <c r="N140" s="17" t="n"/>
      <c r="O140" s="18" t="n"/>
      <c r="P140" s="17" t="n"/>
      <c r="Q140" s="17" t="n"/>
      <c r="R140" s="17" t="n"/>
      <c r="S140" s="17" t="n"/>
      <c r="T140" s="21">
        <f>IF(S140="","",IFERROR(INDEX(Carreras!$D$2:$D$152,MATCH(S140,Carreras!$A$2:$A$152,0)),"En Umbral"))</f>
        <v/>
      </c>
      <c r="U140" s="18" t="n"/>
      <c r="V140" s="18" t="n"/>
      <c r="W140" s="18" t="n"/>
      <c r="X140" s="17" t="n"/>
      <c r="Y140" s="22" t="n"/>
      <c r="Z140" s="17" t="n"/>
      <c r="AA140" s="17" t="n"/>
    </row>
    <row r="141">
      <c r="A141" s="17" t="n"/>
      <c r="B141" s="17" t="n"/>
      <c r="C141" s="18" t="n"/>
      <c r="D141" s="19" t="n"/>
      <c r="E141" s="17" t="n"/>
      <c r="F141" s="17" t="n"/>
      <c r="G141" s="17" t="n"/>
      <c r="H141" s="17" t="n"/>
      <c r="I141" s="17" t="n"/>
      <c r="J141" s="17" t="n"/>
      <c r="K141" s="17" t="n"/>
      <c r="L141" s="20" t="n"/>
      <c r="M141" s="18" t="n"/>
      <c r="N141" s="17" t="n"/>
      <c r="O141" s="18" t="n"/>
      <c r="P141" s="17" t="n"/>
      <c r="Q141" s="17" t="n"/>
      <c r="R141" s="17" t="n"/>
      <c r="S141" s="17" t="n"/>
      <c r="T141" s="21">
        <f>IF(S141="","",IFERROR(INDEX(Carreras!$D$2:$D$152,MATCH(S141,Carreras!$A$2:$A$152,0)),"En Umbral"))</f>
        <v/>
      </c>
      <c r="U141" s="18" t="n"/>
      <c r="V141" s="18" t="n"/>
      <c r="W141" s="18" t="n"/>
      <c r="X141" s="17" t="n"/>
      <c r="Y141" s="22" t="n"/>
      <c r="Z141" s="17" t="n"/>
      <c r="AA141" s="17" t="n"/>
    </row>
    <row r="142">
      <c r="A142" s="17" t="n"/>
      <c r="B142" s="17" t="n"/>
      <c r="C142" s="18" t="n"/>
      <c r="D142" s="19" t="n"/>
      <c r="E142" s="17" t="n"/>
      <c r="F142" s="17" t="n"/>
      <c r="G142" s="17" t="n"/>
      <c r="H142" s="17" t="n"/>
      <c r="I142" s="17" t="n"/>
      <c r="J142" s="17" t="n"/>
      <c r="K142" s="17" t="n"/>
      <c r="L142" s="20" t="n"/>
      <c r="M142" s="18" t="n"/>
      <c r="N142" s="17" t="n"/>
      <c r="O142" s="18" t="n"/>
      <c r="P142" s="17" t="n"/>
      <c r="Q142" s="17" t="n"/>
      <c r="R142" s="17" t="n"/>
      <c r="S142" s="17" t="n"/>
      <c r="T142" s="21">
        <f>IF(S142="","",IFERROR(INDEX(Carreras!$D$2:$D$152,MATCH(S142,Carreras!$A$2:$A$152,0)),"En Umbral"))</f>
        <v/>
      </c>
      <c r="U142" s="18" t="n"/>
      <c r="V142" s="18" t="n"/>
      <c r="W142" s="18" t="n"/>
      <c r="X142" s="17" t="n"/>
      <c r="Y142" s="22" t="n"/>
      <c r="Z142" s="17" t="n"/>
      <c r="AA142" s="17" t="n"/>
    </row>
    <row r="143">
      <c r="A143" s="17" t="n"/>
      <c r="B143" s="17" t="n"/>
      <c r="C143" s="18" t="n"/>
      <c r="D143" s="19" t="n"/>
      <c r="E143" s="17" t="n"/>
      <c r="F143" s="17" t="n"/>
      <c r="G143" s="17" t="n"/>
      <c r="H143" s="17" t="n"/>
      <c r="I143" s="17" t="n"/>
      <c r="J143" s="17" t="n"/>
      <c r="K143" s="17" t="n"/>
      <c r="L143" s="20" t="n"/>
      <c r="M143" s="18" t="n"/>
      <c r="N143" s="17" t="n"/>
      <c r="O143" s="18" t="n"/>
      <c r="P143" s="17" t="n"/>
      <c r="Q143" s="17" t="n"/>
      <c r="R143" s="17" t="n"/>
      <c r="S143" s="17" t="n"/>
      <c r="T143" s="21">
        <f>IF(S143="","",IFERROR(INDEX(Carreras!$D$2:$D$152,MATCH(S143,Carreras!$A$2:$A$152,0)),"En Umbral"))</f>
        <v/>
      </c>
      <c r="U143" s="18" t="n"/>
      <c r="V143" s="18" t="n"/>
      <c r="W143" s="18" t="n"/>
      <c r="X143" s="17" t="n"/>
      <c r="Y143" s="22" t="n"/>
      <c r="Z143" s="17" t="n"/>
      <c r="AA143" s="17" t="n"/>
    </row>
    <row r="144">
      <c r="A144" s="17" t="n"/>
      <c r="B144" s="17" t="n"/>
      <c r="C144" s="18" t="n"/>
      <c r="D144" s="19" t="n"/>
      <c r="E144" s="17" t="n"/>
      <c r="F144" s="17" t="n"/>
      <c r="G144" s="17" t="n"/>
      <c r="H144" s="17" t="n"/>
      <c r="I144" s="17" t="n"/>
      <c r="J144" s="17" t="n"/>
      <c r="K144" s="17" t="n"/>
      <c r="L144" s="20" t="n"/>
      <c r="M144" s="18" t="n"/>
      <c r="N144" s="17" t="n"/>
      <c r="O144" s="18" t="n"/>
      <c r="P144" s="17" t="n"/>
      <c r="Q144" s="17" t="n"/>
      <c r="R144" s="17" t="n"/>
      <c r="S144" s="17" t="n"/>
      <c r="T144" s="21">
        <f>IF(S144="","",IFERROR(INDEX(Carreras!$D$2:$D$152,MATCH(S144,Carreras!$A$2:$A$152,0)),"En Umbral"))</f>
        <v/>
      </c>
      <c r="U144" s="18" t="n"/>
      <c r="V144" s="18" t="n"/>
      <c r="W144" s="18" t="n"/>
      <c r="X144" s="17" t="n"/>
      <c r="Y144" s="22" t="n"/>
      <c r="Z144" s="17" t="n"/>
      <c r="AA144" s="17" t="n"/>
    </row>
    <row r="145">
      <c r="A145" s="17" t="n"/>
      <c r="B145" s="17" t="n"/>
      <c r="C145" s="18" t="n"/>
      <c r="D145" s="19" t="n"/>
      <c r="E145" s="17" t="n"/>
      <c r="F145" s="17" t="n"/>
      <c r="G145" s="17" t="n"/>
      <c r="H145" s="17" t="n"/>
      <c r="I145" s="17" t="n"/>
      <c r="J145" s="17" t="n"/>
      <c r="K145" s="17" t="n"/>
      <c r="L145" s="20" t="n"/>
      <c r="M145" s="18" t="n"/>
      <c r="N145" s="17" t="n"/>
      <c r="O145" s="18" t="n"/>
      <c r="P145" s="17" t="n"/>
      <c r="Q145" s="17" t="n"/>
      <c r="R145" s="17" t="n"/>
      <c r="S145" s="17" t="n"/>
      <c r="T145" s="21">
        <f>IF(S145="","",IFERROR(INDEX(Carreras!$D$2:$D$152,MATCH(S145,Carreras!$A$2:$A$152,0)),"En Umbral"))</f>
        <v/>
      </c>
      <c r="U145" s="18" t="n"/>
      <c r="V145" s="18" t="n"/>
      <c r="W145" s="18" t="n"/>
      <c r="X145" s="17" t="n"/>
      <c r="Y145" s="22" t="n"/>
      <c r="Z145" s="17" t="n"/>
      <c r="AA145" s="17" t="n"/>
    </row>
    <row r="146">
      <c r="A146" s="17" t="n"/>
      <c r="B146" s="17" t="n"/>
      <c r="C146" s="18" t="n"/>
      <c r="D146" s="19" t="n"/>
      <c r="E146" s="17" t="n"/>
      <c r="F146" s="17" t="n"/>
      <c r="G146" s="17" t="n"/>
      <c r="H146" s="17" t="n"/>
      <c r="I146" s="17" t="n"/>
      <c r="J146" s="17" t="n"/>
      <c r="K146" s="17" t="n"/>
      <c r="L146" s="20" t="n"/>
      <c r="M146" s="18" t="n"/>
      <c r="N146" s="17" t="n"/>
      <c r="O146" s="18" t="n"/>
      <c r="P146" s="17" t="n"/>
      <c r="Q146" s="17" t="n"/>
      <c r="R146" s="17" t="n"/>
      <c r="S146" s="17" t="n"/>
      <c r="T146" s="21">
        <f>IF(S146="","",IFERROR(INDEX(Carreras!$D$2:$D$152,MATCH(S146,Carreras!$A$2:$A$152,0)),"En Umbral"))</f>
        <v/>
      </c>
      <c r="U146" s="18" t="n"/>
      <c r="V146" s="18" t="n"/>
      <c r="W146" s="18" t="n"/>
      <c r="X146" s="17" t="n"/>
      <c r="Y146" s="22" t="n"/>
      <c r="Z146" s="17" t="n"/>
      <c r="AA146" s="17" t="n"/>
    </row>
    <row r="147">
      <c r="A147" s="17" t="n"/>
      <c r="B147" s="17" t="n"/>
      <c r="C147" s="18" t="n"/>
      <c r="D147" s="19" t="n"/>
      <c r="E147" s="17" t="n"/>
      <c r="F147" s="17" t="n"/>
      <c r="G147" s="17" t="n"/>
      <c r="H147" s="17" t="n"/>
      <c r="I147" s="17" t="n"/>
      <c r="J147" s="17" t="n"/>
      <c r="K147" s="17" t="n"/>
      <c r="L147" s="20" t="n"/>
      <c r="M147" s="18" t="n"/>
      <c r="N147" s="17" t="n"/>
      <c r="O147" s="18" t="n"/>
      <c r="P147" s="17" t="n"/>
      <c r="Q147" s="17" t="n"/>
      <c r="R147" s="17" t="n"/>
      <c r="S147" s="17" t="n"/>
      <c r="T147" s="21">
        <f>IF(S147="","",IFERROR(INDEX(Carreras!$D$2:$D$152,MATCH(S147,Carreras!$A$2:$A$152,0)),"En Umbral"))</f>
        <v/>
      </c>
      <c r="U147" s="18" t="n"/>
      <c r="V147" s="18" t="n"/>
      <c r="W147" s="18" t="n"/>
      <c r="X147" s="17" t="n"/>
      <c r="Y147" s="22" t="n"/>
      <c r="Z147" s="17" t="n"/>
      <c r="AA147" s="17" t="n"/>
    </row>
    <row r="148">
      <c r="A148" s="17" t="n"/>
      <c r="B148" s="17" t="n"/>
      <c r="C148" s="18" t="n"/>
      <c r="D148" s="19" t="n"/>
      <c r="E148" s="17" t="n"/>
      <c r="F148" s="17" t="n"/>
      <c r="G148" s="17" t="n"/>
      <c r="H148" s="17" t="n"/>
      <c r="I148" s="17" t="n"/>
      <c r="J148" s="17" t="n"/>
      <c r="K148" s="17" t="n"/>
      <c r="L148" s="20" t="n"/>
      <c r="M148" s="18" t="n"/>
      <c r="N148" s="17" t="n"/>
      <c r="O148" s="18" t="n"/>
      <c r="P148" s="17" t="n"/>
      <c r="Q148" s="17" t="n"/>
      <c r="R148" s="17" t="n"/>
      <c r="S148" s="17" t="n"/>
      <c r="T148" s="21">
        <f>IF(S148="","",IFERROR(INDEX(Carreras!$D$2:$D$152,MATCH(S148,Carreras!$A$2:$A$152,0)),"En Umbral"))</f>
        <v/>
      </c>
      <c r="U148" s="18" t="n"/>
      <c r="V148" s="18" t="n"/>
      <c r="W148" s="18" t="n"/>
      <c r="X148" s="17" t="n"/>
      <c r="Y148" s="22" t="n"/>
      <c r="Z148" s="17" t="n"/>
      <c r="AA148" s="17" t="n"/>
    </row>
    <row r="149">
      <c r="A149" s="17" t="n"/>
      <c r="B149" s="17" t="n"/>
      <c r="C149" s="18" t="n"/>
      <c r="D149" s="19" t="n"/>
      <c r="E149" s="17" t="n"/>
      <c r="F149" s="17" t="n"/>
      <c r="G149" s="17" t="n"/>
      <c r="H149" s="17" t="n"/>
      <c r="I149" s="17" t="n"/>
      <c r="J149" s="17" t="n"/>
      <c r="K149" s="17" t="n"/>
      <c r="L149" s="20" t="n"/>
      <c r="M149" s="18" t="n"/>
      <c r="N149" s="17" t="n"/>
      <c r="O149" s="18" t="n"/>
      <c r="P149" s="17" t="n"/>
      <c r="Q149" s="17" t="n"/>
      <c r="R149" s="17" t="n"/>
      <c r="S149" s="17" t="n"/>
      <c r="T149" s="21">
        <f>IF(S149="","",IFERROR(INDEX(Carreras!$D$2:$D$152,MATCH(S149,Carreras!$A$2:$A$152,0)),"En Umbral"))</f>
        <v/>
      </c>
      <c r="U149" s="18" t="n"/>
      <c r="V149" s="18" t="n"/>
      <c r="W149" s="18" t="n"/>
      <c r="X149" s="17" t="n"/>
      <c r="Y149" s="22" t="n"/>
      <c r="Z149" s="17" t="n"/>
      <c r="AA149" s="17" t="n"/>
    </row>
    <row r="150">
      <c r="A150" s="17" t="n"/>
      <c r="B150" s="17" t="n"/>
      <c r="C150" s="18" t="n"/>
      <c r="D150" s="19" t="n"/>
      <c r="E150" s="17" t="n"/>
      <c r="F150" s="17" t="n"/>
      <c r="G150" s="17" t="n"/>
      <c r="H150" s="17" t="n"/>
      <c r="I150" s="17" t="n"/>
      <c r="J150" s="17" t="n"/>
      <c r="K150" s="17" t="n"/>
      <c r="L150" s="20" t="n"/>
      <c r="M150" s="18" t="n"/>
      <c r="N150" s="17" t="n"/>
      <c r="O150" s="18" t="n"/>
      <c r="P150" s="17" t="n"/>
      <c r="Q150" s="17" t="n"/>
      <c r="R150" s="17" t="n"/>
      <c r="S150" s="17" t="n"/>
      <c r="T150" s="21">
        <f>IF(S150="","",IFERROR(INDEX(Carreras!$D$2:$D$152,MATCH(S150,Carreras!$A$2:$A$152,0)),"En Umbral"))</f>
        <v/>
      </c>
      <c r="U150" s="18" t="n"/>
      <c r="V150" s="18" t="n"/>
      <c r="W150" s="18" t="n"/>
      <c r="X150" s="17" t="n"/>
      <c r="Y150" s="22" t="n"/>
      <c r="Z150" s="17" t="n"/>
      <c r="AA150" s="17" t="n"/>
    </row>
    <row r="151">
      <c r="A151" s="17" t="n"/>
      <c r="B151" s="17" t="n"/>
      <c r="C151" s="18" t="n"/>
      <c r="D151" s="19" t="n"/>
      <c r="E151" s="17" t="n"/>
      <c r="F151" s="17" t="n"/>
      <c r="G151" s="17" t="n"/>
      <c r="H151" s="17" t="n"/>
      <c r="I151" s="17" t="n"/>
      <c r="J151" s="17" t="n"/>
      <c r="K151" s="17" t="n"/>
      <c r="L151" s="20" t="n"/>
      <c r="M151" s="18" t="n"/>
      <c r="N151" s="17" t="n"/>
      <c r="O151" s="18" t="n"/>
      <c r="P151" s="17" t="n"/>
      <c r="Q151" s="17" t="n"/>
      <c r="R151" s="17" t="n"/>
      <c r="S151" s="17" t="n"/>
      <c r="T151" s="21">
        <f>IF(S151="","",IFERROR(INDEX(Carreras!$D$2:$D$152,MATCH(S151,Carreras!$A$2:$A$152,0)),"En Umbral"))</f>
        <v/>
      </c>
      <c r="U151" s="18" t="n"/>
      <c r="V151" s="18" t="n"/>
      <c r="W151" s="18" t="n"/>
      <c r="X151" s="17" t="n"/>
      <c r="Y151" s="22" t="n"/>
      <c r="Z151" s="17" t="n"/>
      <c r="AA151" s="17" t="n"/>
    </row>
    <row r="152">
      <c r="A152" s="17" t="n"/>
      <c r="B152" s="17" t="n"/>
      <c r="C152" s="18" t="n"/>
      <c r="D152" s="19" t="n"/>
      <c r="E152" s="17" t="n"/>
      <c r="F152" s="17" t="n"/>
      <c r="G152" s="17" t="n"/>
      <c r="H152" s="17" t="n"/>
      <c r="I152" s="17" t="n"/>
      <c r="J152" s="17" t="n"/>
      <c r="K152" s="17" t="n"/>
      <c r="L152" s="20" t="n"/>
      <c r="M152" s="18" t="n"/>
      <c r="N152" s="17" t="n"/>
      <c r="O152" s="18" t="n"/>
      <c r="P152" s="17" t="n"/>
      <c r="Q152" s="17" t="n"/>
      <c r="R152" s="17" t="n"/>
      <c r="S152" s="17" t="n"/>
      <c r="T152" s="21">
        <f>IF(S152="","",IFERROR(INDEX(Carreras!$D$2:$D$152,MATCH(S152,Carreras!$A$2:$A$152,0)),"En Umbral"))</f>
        <v/>
      </c>
      <c r="U152" s="18" t="n"/>
      <c r="V152" s="18" t="n"/>
      <c r="W152" s="18" t="n"/>
      <c r="X152" s="17" t="n"/>
      <c r="Y152" s="22" t="n"/>
      <c r="Z152" s="17" t="n"/>
      <c r="AA152" s="17" t="n"/>
    </row>
    <row r="153">
      <c r="A153" s="17" t="n"/>
      <c r="B153" s="17" t="n"/>
      <c r="C153" s="18" t="n"/>
      <c r="D153" s="19" t="n"/>
      <c r="E153" s="17" t="n"/>
      <c r="F153" s="17" t="n"/>
      <c r="G153" s="17" t="n"/>
      <c r="H153" s="17" t="n"/>
      <c r="I153" s="17" t="n"/>
      <c r="J153" s="17" t="n"/>
      <c r="K153" s="17" t="n"/>
      <c r="L153" s="20" t="n"/>
      <c r="M153" s="18" t="n"/>
      <c r="N153" s="17" t="n"/>
      <c r="O153" s="18" t="n"/>
      <c r="P153" s="17" t="n"/>
      <c r="Q153" s="17" t="n"/>
      <c r="R153" s="17" t="n"/>
      <c r="S153" s="17" t="n"/>
      <c r="T153" s="21">
        <f>IF(S153="","",IFERROR(INDEX(Carreras!$D$2:$D$152,MATCH(S153,Carreras!$A$2:$A$152,0)),"En Umbral"))</f>
        <v/>
      </c>
      <c r="U153" s="18" t="n"/>
      <c r="V153" s="18" t="n"/>
      <c r="W153" s="18" t="n"/>
      <c r="X153" s="17" t="n"/>
      <c r="Y153" s="22" t="n"/>
      <c r="Z153" s="17" t="n"/>
      <c r="AA153" s="17" t="n"/>
    </row>
    <row r="154">
      <c r="A154" s="17" t="n"/>
      <c r="B154" s="17" t="n"/>
      <c r="C154" s="18" t="n"/>
      <c r="D154" s="19" t="n"/>
      <c r="E154" s="17" t="n"/>
      <c r="F154" s="17" t="n"/>
      <c r="G154" s="17" t="n"/>
      <c r="H154" s="17" t="n"/>
      <c r="I154" s="17" t="n"/>
      <c r="J154" s="17" t="n"/>
      <c r="K154" s="17" t="n"/>
      <c r="L154" s="20" t="n"/>
      <c r="M154" s="18" t="n"/>
      <c r="N154" s="17" t="n"/>
      <c r="O154" s="18" t="n"/>
      <c r="P154" s="17" t="n"/>
      <c r="Q154" s="17" t="n"/>
      <c r="R154" s="17" t="n"/>
      <c r="S154" s="17" t="n"/>
      <c r="T154" s="21">
        <f>IF(S154="","",IFERROR(INDEX(Carreras!$D$2:$D$152,MATCH(S154,Carreras!$A$2:$A$152,0)),"En Umbral"))</f>
        <v/>
      </c>
      <c r="U154" s="18" t="n"/>
      <c r="V154" s="18" t="n"/>
      <c r="W154" s="18" t="n"/>
      <c r="X154" s="17" t="n"/>
      <c r="Y154" s="22" t="n"/>
      <c r="Z154" s="17" t="n"/>
      <c r="AA154" s="17" t="n"/>
    </row>
    <row r="155">
      <c r="A155" s="17" t="n"/>
      <c r="B155" s="17" t="n"/>
      <c r="C155" s="18" t="n"/>
      <c r="D155" s="19" t="n"/>
      <c r="E155" s="17" t="n"/>
      <c r="F155" s="17" t="n"/>
      <c r="G155" s="17" t="n"/>
      <c r="H155" s="17" t="n"/>
      <c r="I155" s="17" t="n"/>
      <c r="J155" s="17" t="n"/>
      <c r="K155" s="17" t="n"/>
      <c r="L155" s="20" t="n"/>
      <c r="M155" s="18" t="n"/>
      <c r="N155" s="17" t="n"/>
      <c r="O155" s="18" t="n"/>
      <c r="P155" s="17" t="n"/>
      <c r="Q155" s="17" t="n"/>
      <c r="R155" s="17" t="n"/>
      <c r="S155" s="17" t="n"/>
      <c r="T155" s="21">
        <f>IF(S155="","",IFERROR(INDEX(Carreras!$D$2:$D$152,MATCH(S155,Carreras!$A$2:$A$152,0)),"En Umbral"))</f>
        <v/>
      </c>
      <c r="U155" s="18" t="n"/>
      <c r="V155" s="18" t="n"/>
      <c r="W155" s="18" t="n"/>
      <c r="X155" s="17" t="n"/>
      <c r="Y155" s="22" t="n"/>
      <c r="Z155" s="17" t="n"/>
      <c r="AA155" s="17" t="n"/>
    </row>
    <row r="156">
      <c r="A156" s="17" t="n"/>
      <c r="B156" s="17" t="n"/>
      <c r="C156" s="18" t="n"/>
      <c r="D156" s="19" t="n"/>
      <c r="E156" s="17" t="n"/>
      <c r="F156" s="17" t="n"/>
      <c r="G156" s="17" t="n"/>
      <c r="H156" s="17" t="n"/>
      <c r="I156" s="17" t="n"/>
      <c r="J156" s="17" t="n"/>
      <c r="K156" s="17" t="n"/>
      <c r="L156" s="20" t="n"/>
      <c r="M156" s="18" t="n"/>
      <c r="N156" s="17" t="n"/>
      <c r="O156" s="18" t="n"/>
      <c r="P156" s="17" t="n"/>
      <c r="Q156" s="17" t="n"/>
      <c r="R156" s="17" t="n"/>
      <c r="S156" s="17" t="n"/>
      <c r="T156" s="21">
        <f>IF(S156="","",IFERROR(INDEX(Carreras!$D$2:$D$152,MATCH(S156,Carreras!$A$2:$A$152,0)),"En Umbral"))</f>
        <v/>
      </c>
      <c r="U156" s="18" t="n"/>
      <c r="V156" s="18" t="n"/>
      <c r="W156" s="18" t="n"/>
      <c r="X156" s="17" t="n"/>
      <c r="Y156" s="22" t="n"/>
      <c r="Z156" s="17" t="n"/>
      <c r="AA156" s="17" t="n"/>
    </row>
    <row r="157">
      <c r="A157" s="17" t="n"/>
      <c r="B157" s="17" t="n"/>
      <c r="C157" s="18" t="n"/>
      <c r="D157" s="19" t="n"/>
      <c r="E157" s="17" t="n"/>
      <c r="F157" s="17" t="n"/>
      <c r="G157" s="17" t="n"/>
      <c r="H157" s="17" t="n"/>
      <c r="I157" s="17" t="n"/>
      <c r="J157" s="17" t="n"/>
      <c r="K157" s="17" t="n"/>
      <c r="L157" s="20" t="n"/>
      <c r="M157" s="18" t="n"/>
      <c r="N157" s="17" t="n"/>
      <c r="O157" s="18" t="n"/>
      <c r="P157" s="17" t="n"/>
      <c r="Q157" s="17" t="n"/>
      <c r="R157" s="17" t="n"/>
      <c r="S157" s="17" t="n"/>
      <c r="T157" s="21">
        <f>IF(S157="","",IFERROR(INDEX(Carreras!$D$2:$D$152,MATCH(S157,Carreras!$A$2:$A$152,0)),"En Umbral"))</f>
        <v/>
      </c>
      <c r="U157" s="18" t="n"/>
      <c r="V157" s="18" t="n"/>
      <c r="W157" s="18" t="n"/>
      <c r="X157" s="17" t="n"/>
      <c r="Y157" s="22" t="n"/>
      <c r="Z157" s="17" t="n"/>
      <c r="AA157" s="17" t="n"/>
    </row>
    <row r="158">
      <c r="A158" s="17" t="n"/>
      <c r="B158" s="17" t="n"/>
      <c r="C158" s="18" t="n"/>
      <c r="D158" s="19" t="n"/>
      <c r="E158" s="17" t="n"/>
      <c r="F158" s="17" t="n"/>
      <c r="G158" s="17" t="n"/>
      <c r="H158" s="17" t="n"/>
      <c r="I158" s="17" t="n"/>
      <c r="J158" s="17" t="n"/>
      <c r="K158" s="17" t="n"/>
      <c r="L158" s="20" t="n"/>
      <c r="M158" s="18" t="n"/>
      <c r="N158" s="17" t="n"/>
      <c r="O158" s="18" t="n"/>
      <c r="P158" s="17" t="n"/>
      <c r="Q158" s="17" t="n"/>
      <c r="R158" s="17" t="n"/>
      <c r="S158" s="17" t="n"/>
      <c r="T158" s="21">
        <f>IF(S158="","",IFERROR(INDEX(Carreras!$D$2:$D$152,MATCH(S158,Carreras!$A$2:$A$152,0)),"En Umbral"))</f>
        <v/>
      </c>
      <c r="U158" s="18" t="n"/>
      <c r="V158" s="18" t="n"/>
      <c r="W158" s="18" t="n"/>
      <c r="X158" s="17" t="n"/>
      <c r="Y158" s="22" t="n"/>
      <c r="Z158" s="17" t="n"/>
      <c r="AA158" s="17" t="n"/>
    </row>
    <row r="159">
      <c r="A159" s="17" t="n"/>
      <c r="B159" s="17" t="n"/>
      <c r="C159" s="18" t="n"/>
      <c r="D159" s="19" t="n"/>
      <c r="E159" s="17" t="n"/>
      <c r="F159" s="17" t="n"/>
      <c r="G159" s="17" t="n"/>
      <c r="H159" s="17" t="n"/>
      <c r="I159" s="17" t="n"/>
      <c r="J159" s="17" t="n"/>
      <c r="K159" s="17" t="n"/>
      <c r="L159" s="20" t="n"/>
      <c r="M159" s="18" t="n"/>
      <c r="N159" s="17" t="n"/>
      <c r="O159" s="18" t="n"/>
      <c r="P159" s="17" t="n"/>
      <c r="Q159" s="17" t="n"/>
      <c r="R159" s="17" t="n"/>
      <c r="S159" s="17" t="n"/>
      <c r="T159" s="21">
        <f>IF(S159="","",IFERROR(INDEX(Carreras!$D$2:$D$152,MATCH(S159,Carreras!$A$2:$A$152,0)),"En Umbral"))</f>
        <v/>
      </c>
      <c r="U159" s="18" t="n"/>
      <c r="V159" s="18" t="n"/>
      <c r="W159" s="18" t="n"/>
      <c r="X159" s="17" t="n"/>
      <c r="Y159" s="22" t="n"/>
      <c r="Z159" s="17" t="n"/>
      <c r="AA159" s="17" t="n"/>
    </row>
    <row r="160">
      <c r="A160" s="17" t="n"/>
      <c r="B160" s="17" t="n"/>
      <c r="C160" s="18" t="n"/>
      <c r="D160" s="19" t="n"/>
      <c r="E160" s="17" t="n"/>
      <c r="F160" s="17" t="n"/>
      <c r="G160" s="17" t="n"/>
      <c r="H160" s="17" t="n"/>
      <c r="I160" s="17" t="n"/>
      <c r="J160" s="17" t="n"/>
      <c r="K160" s="17" t="n"/>
      <c r="L160" s="20" t="n"/>
      <c r="M160" s="18" t="n"/>
      <c r="N160" s="17" t="n"/>
      <c r="O160" s="18" t="n"/>
      <c r="P160" s="17" t="n"/>
      <c r="Q160" s="17" t="n"/>
      <c r="R160" s="17" t="n"/>
      <c r="S160" s="17" t="n"/>
      <c r="T160" s="21">
        <f>IF(S160="","",IFERROR(INDEX(Carreras!$D$2:$D$152,MATCH(S160,Carreras!$A$2:$A$152,0)),"En Umbral"))</f>
        <v/>
      </c>
      <c r="U160" s="18" t="n"/>
      <c r="V160" s="18" t="n"/>
      <c r="W160" s="18" t="n"/>
      <c r="X160" s="17" t="n"/>
      <c r="Y160" s="22" t="n"/>
      <c r="Z160" s="17" t="n"/>
      <c r="AA160" s="17" t="n"/>
    </row>
    <row r="161">
      <c r="A161" s="17" t="n"/>
      <c r="B161" s="17" t="n"/>
      <c r="C161" s="18" t="n"/>
      <c r="D161" s="19" t="n"/>
      <c r="E161" s="17" t="n"/>
      <c r="F161" s="17" t="n"/>
      <c r="G161" s="17" t="n"/>
      <c r="H161" s="17" t="n"/>
      <c r="I161" s="17" t="n"/>
      <c r="J161" s="17" t="n"/>
      <c r="K161" s="17" t="n"/>
      <c r="L161" s="20" t="n"/>
      <c r="M161" s="18" t="n"/>
      <c r="N161" s="17" t="n"/>
      <c r="O161" s="18" t="n"/>
      <c r="P161" s="17" t="n"/>
      <c r="Q161" s="17" t="n"/>
      <c r="R161" s="17" t="n"/>
      <c r="S161" s="17" t="n"/>
      <c r="T161" s="21">
        <f>IF(S161="","",IFERROR(INDEX(Carreras!$D$2:$D$152,MATCH(S161,Carreras!$A$2:$A$152,0)),"En Umbral"))</f>
        <v/>
      </c>
      <c r="U161" s="18" t="n"/>
      <c r="V161" s="18" t="n"/>
      <c r="W161" s="18" t="n"/>
      <c r="X161" s="17" t="n"/>
      <c r="Y161" s="22" t="n"/>
      <c r="Z161" s="17" t="n"/>
      <c r="AA161" s="17" t="n"/>
    </row>
    <row r="162">
      <c r="A162" s="17" t="n"/>
      <c r="B162" s="17" t="n"/>
      <c r="C162" s="18" t="n"/>
      <c r="D162" s="19" t="n"/>
      <c r="E162" s="17" t="n"/>
      <c r="F162" s="17" t="n"/>
      <c r="G162" s="17" t="n"/>
      <c r="H162" s="17" t="n"/>
      <c r="I162" s="17" t="n"/>
      <c r="J162" s="17" t="n"/>
      <c r="K162" s="17" t="n"/>
      <c r="L162" s="20" t="n"/>
      <c r="M162" s="18" t="n"/>
      <c r="N162" s="17" t="n"/>
      <c r="O162" s="18" t="n"/>
      <c r="P162" s="17" t="n"/>
      <c r="Q162" s="17" t="n"/>
      <c r="R162" s="17" t="n"/>
      <c r="S162" s="17" t="n"/>
      <c r="T162" s="21">
        <f>IF(S162="","",IFERROR(INDEX(Carreras!$D$2:$D$152,MATCH(S162,Carreras!$A$2:$A$152,0)),"En Umbral"))</f>
        <v/>
      </c>
      <c r="U162" s="18" t="n"/>
      <c r="V162" s="18" t="n"/>
      <c r="W162" s="18" t="n"/>
      <c r="X162" s="17" t="n"/>
      <c r="Y162" s="22" t="n"/>
      <c r="Z162" s="17" t="n"/>
      <c r="AA162" s="17" t="n"/>
    </row>
    <row r="163">
      <c r="A163" s="17" t="n"/>
      <c r="B163" s="17" t="n"/>
      <c r="C163" s="18" t="n"/>
      <c r="D163" s="19" t="n"/>
      <c r="E163" s="17" t="n"/>
      <c r="F163" s="17" t="n"/>
      <c r="G163" s="17" t="n"/>
      <c r="H163" s="17" t="n"/>
      <c r="I163" s="17" t="n"/>
      <c r="J163" s="17" t="n"/>
      <c r="K163" s="17" t="n"/>
      <c r="L163" s="20" t="n"/>
      <c r="M163" s="18" t="n"/>
      <c r="N163" s="17" t="n"/>
      <c r="O163" s="18" t="n"/>
      <c r="P163" s="17" t="n"/>
      <c r="Q163" s="17" t="n"/>
      <c r="R163" s="17" t="n"/>
      <c r="S163" s="17" t="n"/>
      <c r="T163" s="21">
        <f>IF(S163="","",IFERROR(INDEX(Carreras!$D$2:$D$152,MATCH(S163,Carreras!$A$2:$A$152,0)),"En Umbral"))</f>
        <v/>
      </c>
      <c r="U163" s="18" t="n"/>
      <c r="V163" s="18" t="n"/>
      <c r="W163" s="18" t="n"/>
      <c r="X163" s="17" t="n"/>
      <c r="Y163" s="22" t="n"/>
      <c r="Z163" s="17" t="n"/>
      <c r="AA163" s="17" t="n"/>
    </row>
    <row r="164">
      <c r="A164" s="17" t="n"/>
      <c r="B164" s="17" t="n"/>
      <c r="C164" s="18" t="n"/>
      <c r="D164" s="19" t="n"/>
      <c r="E164" s="17" t="n"/>
      <c r="F164" s="17" t="n"/>
      <c r="G164" s="17" t="n"/>
      <c r="H164" s="17" t="n"/>
      <c r="I164" s="17" t="n"/>
      <c r="J164" s="17" t="n"/>
      <c r="K164" s="17" t="n"/>
      <c r="L164" s="20" t="n"/>
      <c r="M164" s="18" t="n"/>
      <c r="N164" s="17" t="n"/>
      <c r="O164" s="18" t="n"/>
      <c r="P164" s="17" t="n"/>
      <c r="Q164" s="17" t="n"/>
      <c r="R164" s="17" t="n"/>
      <c r="S164" s="17" t="n"/>
      <c r="T164" s="21">
        <f>IF(S164="","",IFERROR(INDEX(Carreras!$D$2:$D$152,MATCH(S164,Carreras!$A$2:$A$152,0)),"En Umbral"))</f>
        <v/>
      </c>
      <c r="U164" s="18" t="n"/>
      <c r="V164" s="18" t="n"/>
      <c r="W164" s="18" t="n"/>
      <c r="X164" s="17" t="n"/>
      <c r="Y164" s="22" t="n"/>
      <c r="Z164" s="17" t="n"/>
      <c r="AA164" s="17" t="n"/>
    </row>
    <row r="165">
      <c r="A165" s="17" t="n"/>
      <c r="B165" s="17" t="n"/>
      <c r="C165" s="18" t="n"/>
      <c r="D165" s="19" t="n"/>
      <c r="E165" s="17" t="n"/>
      <c r="F165" s="17" t="n"/>
      <c r="G165" s="17" t="n"/>
      <c r="H165" s="17" t="n"/>
      <c r="I165" s="17" t="n"/>
      <c r="J165" s="17" t="n"/>
      <c r="K165" s="17" t="n"/>
      <c r="L165" s="20" t="n"/>
      <c r="M165" s="18" t="n"/>
      <c r="N165" s="17" t="n"/>
      <c r="O165" s="18" t="n"/>
      <c r="P165" s="17" t="n"/>
      <c r="Q165" s="17" t="n"/>
      <c r="R165" s="17" t="n"/>
      <c r="S165" s="17" t="n"/>
      <c r="T165" s="21">
        <f>IF(S165="","",IFERROR(INDEX(Carreras!$D$2:$D$152,MATCH(S165,Carreras!$A$2:$A$152,0)),"En Umbral"))</f>
        <v/>
      </c>
      <c r="U165" s="18" t="n"/>
      <c r="V165" s="18" t="n"/>
      <c r="W165" s="18" t="n"/>
      <c r="X165" s="17" t="n"/>
      <c r="Y165" s="22" t="n"/>
      <c r="Z165" s="17" t="n"/>
      <c r="AA165" s="17" t="n"/>
    </row>
    <row r="166">
      <c r="A166" s="17" t="n"/>
      <c r="B166" s="17" t="n"/>
      <c r="C166" s="18" t="n"/>
      <c r="D166" s="19" t="n"/>
      <c r="E166" s="17" t="n"/>
      <c r="F166" s="17" t="n"/>
      <c r="G166" s="17" t="n"/>
      <c r="H166" s="17" t="n"/>
      <c r="I166" s="17" t="n"/>
      <c r="J166" s="17" t="n"/>
      <c r="K166" s="17" t="n"/>
      <c r="L166" s="20" t="n"/>
      <c r="M166" s="18" t="n"/>
      <c r="N166" s="17" t="n"/>
      <c r="O166" s="18" t="n"/>
      <c r="P166" s="17" t="n"/>
      <c r="Q166" s="17" t="n"/>
      <c r="R166" s="17" t="n"/>
      <c r="S166" s="17" t="n"/>
      <c r="T166" s="21">
        <f>IF(S166="","",IFERROR(INDEX(Carreras!$D$2:$D$152,MATCH(S166,Carreras!$A$2:$A$152,0)),"En Umbral"))</f>
        <v/>
      </c>
      <c r="U166" s="18" t="n"/>
      <c r="V166" s="18" t="n"/>
      <c r="W166" s="18" t="n"/>
      <c r="X166" s="17" t="n"/>
      <c r="Y166" s="22" t="n"/>
      <c r="Z166" s="17" t="n"/>
      <c r="AA166" s="17" t="n"/>
    </row>
    <row r="167">
      <c r="A167" s="17" t="n"/>
      <c r="B167" s="17" t="n"/>
      <c r="C167" s="18" t="n"/>
      <c r="D167" s="19" t="n"/>
      <c r="E167" s="17" t="n"/>
      <c r="F167" s="17" t="n"/>
      <c r="G167" s="17" t="n"/>
      <c r="H167" s="17" t="n"/>
      <c r="I167" s="17" t="n"/>
      <c r="J167" s="17" t="n"/>
      <c r="K167" s="17" t="n"/>
      <c r="L167" s="20" t="n"/>
      <c r="M167" s="18" t="n"/>
      <c r="N167" s="17" t="n"/>
      <c r="O167" s="18" t="n"/>
      <c r="P167" s="17" t="n"/>
      <c r="Q167" s="17" t="n"/>
      <c r="R167" s="17" t="n"/>
      <c r="S167" s="17" t="n"/>
      <c r="T167" s="21">
        <f>IF(S167="","",IFERROR(INDEX(Carreras!$D$2:$D$152,MATCH(S167,Carreras!$A$2:$A$152,0)),"En Umbral"))</f>
        <v/>
      </c>
      <c r="U167" s="18" t="n"/>
      <c r="V167" s="18" t="n"/>
      <c r="W167" s="18" t="n"/>
      <c r="X167" s="17" t="n"/>
      <c r="Y167" s="22" t="n"/>
      <c r="Z167" s="17" t="n"/>
      <c r="AA167" s="17" t="n"/>
    </row>
    <row r="168">
      <c r="A168" s="17" t="n"/>
      <c r="B168" s="17" t="n"/>
      <c r="C168" s="18" t="n"/>
      <c r="D168" s="19" t="n"/>
      <c r="E168" s="17" t="n"/>
      <c r="F168" s="17" t="n"/>
      <c r="G168" s="17" t="n"/>
      <c r="H168" s="17" t="n"/>
      <c r="I168" s="17" t="n"/>
      <c r="J168" s="17" t="n"/>
      <c r="K168" s="17" t="n"/>
      <c r="L168" s="20" t="n"/>
      <c r="M168" s="18" t="n"/>
      <c r="N168" s="17" t="n"/>
      <c r="O168" s="18" t="n"/>
      <c r="P168" s="17" t="n"/>
      <c r="Q168" s="17" t="n"/>
      <c r="R168" s="17" t="n"/>
      <c r="S168" s="17" t="n"/>
      <c r="T168" s="21">
        <f>IF(S168="","",IFERROR(INDEX(Carreras!$D$2:$D$152,MATCH(S168,Carreras!$A$2:$A$152,0)),"En Umbral"))</f>
        <v/>
      </c>
      <c r="U168" s="18" t="n"/>
      <c r="V168" s="18" t="n"/>
      <c r="W168" s="18" t="n"/>
      <c r="X168" s="17" t="n"/>
      <c r="Y168" s="22" t="n"/>
      <c r="Z168" s="17" t="n"/>
      <c r="AA168" s="17" t="n"/>
    </row>
    <row r="169">
      <c r="A169" s="17" t="n"/>
      <c r="B169" s="17" t="n"/>
      <c r="C169" s="18" t="n"/>
      <c r="D169" s="19" t="n"/>
      <c r="E169" s="17" t="n"/>
      <c r="F169" s="17" t="n"/>
      <c r="G169" s="17" t="n"/>
      <c r="H169" s="17" t="n"/>
      <c r="I169" s="17" t="n"/>
      <c r="J169" s="17" t="n"/>
      <c r="K169" s="17" t="n"/>
      <c r="L169" s="20" t="n"/>
      <c r="M169" s="18" t="n"/>
      <c r="N169" s="17" t="n"/>
      <c r="O169" s="18" t="n"/>
      <c r="P169" s="17" t="n"/>
      <c r="Q169" s="17" t="n"/>
      <c r="R169" s="17" t="n"/>
      <c r="S169" s="17" t="n"/>
      <c r="T169" s="21">
        <f>IF(S169="","",IFERROR(INDEX(Carreras!$D$2:$D$152,MATCH(S169,Carreras!$A$2:$A$152,0)),"En Umbral"))</f>
        <v/>
      </c>
      <c r="U169" s="18" t="n"/>
      <c r="V169" s="18" t="n"/>
      <c r="W169" s="18" t="n"/>
      <c r="X169" s="17" t="n"/>
      <c r="Y169" s="22" t="n"/>
      <c r="Z169" s="17" t="n"/>
      <c r="AA169" s="17" t="n"/>
    </row>
    <row r="170">
      <c r="A170" s="17" t="n"/>
      <c r="B170" s="17" t="n"/>
      <c r="C170" s="18" t="n"/>
      <c r="D170" s="19" t="n"/>
      <c r="E170" s="17" t="n"/>
      <c r="F170" s="17" t="n"/>
      <c r="G170" s="17" t="n"/>
      <c r="H170" s="17" t="n"/>
      <c r="I170" s="17" t="n"/>
      <c r="J170" s="17" t="n"/>
      <c r="K170" s="17" t="n"/>
      <c r="L170" s="20" t="n"/>
      <c r="M170" s="18" t="n"/>
      <c r="N170" s="17" t="n"/>
      <c r="O170" s="18" t="n"/>
      <c r="P170" s="17" t="n"/>
      <c r="Q170" s="17" t="n"/>
      <c r="R170" s="17" t="n"/>
      <c r="S170" s="17" t="n"/>
      <c r="T170" s="21">
        <f>IF(S170="","",IFERROR(INDEX(Carreras!$D$2:$D$152,MATCH(S170,Carreras!$A$2:$A$152,0)),"En Umbral"))</f>
        <v/>
      </c>
      <c r="U170" s="18" t="n"/>
      <c r="V170" s="18" t="n"/>
      <c r="W170" s="18" t="n"/>
      <c r="X170" s="17" t="n"/>
      <c r="Y170" s="22" t="n"/>
      <c r="Z170" s="17" t="n"/>
      <c r="AA170" s="17" t="n"/>
    </row>
    <row r="171">
      <c r="A171" s="17" t="n"/>
      <c r="B171" s="17" t="n"/>
      <c r="C171" s="18" t="n"/>
      <c r="D171" s="19" t="n"/>
      <c r="E171" s="17" t="n"/>
      <c r="F171" s="17" t="n"/>
      <c r="G171" s="17" t="n"/>
      <c r="H171" s="17" t="n"/>
      <c r="I171" s="17" t="n"/>
      <c r="J171" s="17" t="n"/>
      <c r="K171" s="17" t="n"/>
      <c r="L171" s="20" t="n"/>
      <c r="M171" s="18" t="n"/>
      <c r="N171" s="17" t="n"/>
      <c r="O171" s="18" t="n"/>
      <c r="P171" s="17" t="n"/>
      <c r="Q171" s="17" t="n"/>
      <c r="R171" s="17" t="n"/>
      <c r="S171" s="17" t="n"/>
      <c r="T171" s="21">
        <f>IF(S171="","",IFERROR(INDEX(Carreras!$D$2:$D$152,MATCH(S171,Carreras!$A$2:$A$152,0)),"En Umbral"))</f>
        <v/>
      </c>
      <c r="U171" s="18" t="n"/>
      <c r="V171" s="18" t="n"/>
      <c r="W171" s="18" t="n"/>
      <c r="X171" s="17" t="n"/>
      <c r="Y171" s="22" t="n"/>
      <c r="Z171" s="17" t="n"/>
      <c r="AA171" s="17" t="n"/>
    </row>
    <row r="172">
      <c r="A172" s="17" t="n"/>
      <c r="B172" s="17" t="n"/>
      <c r="C172" s="18" t="n"/>
      <c r="D172" s="19" t="n"/>
      <c r="E172" s="17" t="n"/>
      <c r="F172" s="17" t="n"/>
      <c r="G172" s="17" t="n"/>
      <c r="H172" s="17" t="n"/>
      <c r="I172" s="17" t="n"/>
      <c r="J172" s="17" t="n"/>
      <c r="K172" s="17" t="n"/>
      <c r="L172" s="20" t="n"/>
      <c r="M172" s="18" t="n"/>
      <c r="N172" s="17" t="n"/>
      <c r="O172" s="18" t="n"/>
      <c r="P172" s="17" t="n"/>
      <c r="Q172" s="17" t="n"/>
      <c r="R172" s="17" t="n"/>
      <c r="S172" s="17" t="n"/>
      <c r="T172" s="21">
        <f>IF(S172="","",IFERROR(INDEX(Carreras!$D$2:$D$152,MATCH(S172,Carreras!$A$2:$A$152,0)),"En Umbral"))</f>
        <v/>
      </c>
      <c r="U172" s="18" t="n"/>
      <c r="V172" s="18" t="n"/>
      <c r="W172" s="18" t="n"/>
      <c r="X172" s="17" t="n"/>
      <c r="Y172" s="22" t="n"/>
      <c r="Z172" s="17" t="n"/>
      <c r="AA172" s="17" t="n"/>
    </row>
    <row r="173">
      <c r="A173" s="17" t="n"/>
      <c r="B173" s="17" t="n"/>
      <c r="C173" s="18" t="n"/>
      <c r="D173" s="19" t="n"/>
      <c r="E173" s="17" t="n"/>
      <c r="F173" s="17" t="n"/>
      <c r="G173" s="17" t="n"/>
      <c r="H173" s="17" t="n"/>
      <c r="I173" s="17" t="n"/>
      <c r="J173" s="17" t="n"/>
      <c r="K173" s="17" t="n"/>
      <c r="L173" s="20" t="n"/>
      <c r="M173" s="18" t="n"/>
      <c r="N173" s="17" t="n"/>
      <c r="O173" s="18" t="n"/>
      <c r="P173" s="17" t="n"/>
      <c r="Q173" s="17" t="n"/>
      <c r="R173" s="17" t="n"/>
      <c r="S173" s="17" t="n"/>
      <c r="T173" s="21">
        <f>IF(S173="","",IFERROR(INDEX(Carreras!$D$2:$D$152,MATCH(S173,Carreras!$A$2:$A$152,0)),"En Umbral"))</f>
        <v/>
      </c>
      <c r="U173" s="18" t="n"/>
      <c r="V173" s="18" t="n"/>
      <c r="W173" s="18" t="n"/>
      <c r="X173" s="17" t="n"/>
      <c r="Y173" s="22" t="n"/>
      <c r="Z173" s="17" t="n"/>
      <c r="AA173" s="17" t="n"/>
    </row>
    <row r="174">
      <c r="A174" s="17" t="n"/>
      <c r="B174" s="17" t="n"/>
      <c r="C174" s="18" t="n"/>
      <c r="D174" s="19" t="n"/>
      <c r="E174" s="17" t="n"/>
      <c r="F174" s="17" t="n"/>
      <c r="G174" s="17" t="n"/>
      <c r="H174" s="17" t="n"/>
      <c r="I174" s="17" t="n"/>
      <c r="J174" s="17" t="n"/>
      <c r="K174" s="17" t="n"/>
      <c r="L174" s="20" t="n"/>
      <c r="M174" s="18" t="n"/>
      <c r="N174" s="17" t="n"/>
      <c r="O174" s="18" t="n"/>
      <c r="P174" s="17" t="n"/>
      <c r="Q174" s="17" t="n"/>
      <c r="R174" s="17" t="n"/>
      <c r="S174" s="17" t="n"/>
      <c r="T174" s="21">
        <f>IF(S174="","",IFERROR(INDEX(Carreras!$D$2:$D$152,MATCH(S174,Carreras!$A$2:$A$152,0)),"En Umbral"))</f>
        <v/>
      </c>
      <c r="U174" s="18" t="n"/>
      <c r="V174" s="18" t="n"/>
      <c r="W174" s="18" t="n"/>
      <c r="X174" s="17" t="n"/>
      <c r="Y174" s="22" t="n"/>
      <c r="Z174" s="17" t="n"/>
      <c r="AA174" s="17" t="n"/>
    </row>
    <row r="175">
      <c r="A175" s="17" t="n"/>
      <c r="B175" s="17" t="n"/>
      <c r="C175" s="18" t="n"/>
      <c r="D175" s="19" t="n"/>
      <c r="E175" s="17" t="n"/>
      <c r="F175" s="17" t="n"/>
      <c r="G175" s="17" t="n"/>
      <c r="H175" s="17" t="n"/>
      <c r="I175" s="17" t="n"/>
      <c r="J175" s="17" t="n"/>
      <c r="K175" s="17" t="n"/>
      <c r="L175" s="20" t="n"/>
      <c r="M175" s="18" t="n"/>
      <c r="N175" s="17" t="n"/>
      <c r="O175" s="18" t="n"/>
      <c r="P175" s="17" t="n"/>
      <c r="Q175" s="17" t="n"/>
      <c r="R175" s="17" t="n"/>
      <c r="S175" s="17" t="n"/>
      <c r="T175" s="21">
        <f>IF(S175="","",IFERROR(INDEX(Carreras!$D$2:$D$152,MATCH(S175,Carreras!$A$2:$A$152,0)),"En Umbral"))</f>
        <v/>
      </c>
      <c r="U175" s="18" t="n"/>
      <c r="V175" s="18" t="n"/>
      <c r="W175" s="18" t="n"/>
      <c r="X175" s="17" t="n"/>
      <c r="Y175" s="22" t="n"/>
      <c r="Z175" s="17" t="n"/>
      <c r="AA175" s="17" t="n"/>
    </row>
    <row r="176">
      <c r="A176" s="17" t="n"/>
      <c r="B176" s="17" t="n"/>
      <c r="C176" s="18" t="n"/>
      <c r="D176" s="19" t="n"/>
      <c r="E176" s="17" t="n"/>
      <c r="F176" s="17" t="n"/>
      <c r="G176" s="17" t="n"/>
      <c r="H176" s="17" t="n"/>
      <c r="I176" s="17" t="n"/>
      <c r="J176" s="17" t="n"/>
      <c r="K176" s="17" t="n"/>
      <c r="L176" s="20" t="n"/>
      <c r="M176" s="18" t="n"/>
      <c r="N176" s="17" t="n"/>
      <c r="O176" s="18" t="n"/>
      <c r="P176" s="17" t="n"/>
      <c r="Q176" s="17" t="n"/>
      <c r="R176" s="17" t="n"/>
      <c r="S176" s="17" t="n"/>
      <c r="T176" s="21">
        <f>IF(S176="","",IFERROR(INDEX(Carreras!$D$2:$D$152,MATCH(S176,Carreras!$A$2:$A$152,0)),"En Umbral"))</f>
        <v/>
      </c>
      <c r="U176" s="18" t="n"/>
      <c r="V176" s="18" t="n"/>
      <c r="W176" s="18" t="n"/>
      <c r="X176" s="17" t="n"/>
      <c r="Y176" s="22" t="n"/>
      <c r="Z176" s="17" t="n"/>
      <c r="AA176" s="17" t="n"/>
    </row>
    <row r="177">
      <c r="A177" s="17" t="n"/>
      <c r="B177" s="17" t="n"/>
      <c r="C177" s="18" t="n"/>
      <c r="D177" s="19" t="n"/>
      <c r="E177" s="17" t="n"/>
      <c r="F177" s="17" t="n"/>
      <c r="G177" s="17" t="n"/>
      <c r="H177" s="17" t="n"/>
      <c r="I177" s="17" t="n"/>
      <c r="J177" s="17" t="n"/>
      <c r="K177" s="17" t="n"/>
      <c r="L177" s="20" t="n"/>
      <c r="M177" s="18" t="n"/>
      <c r="N177" s="17" t="n"/>
      <c r="O177" s="18" t="n"/>
      <c r="P177" s="17" t="n"/>
      <c r="Q177" s="17" t="n"/>
      <c r="R177" s="17" t="n"/>
      <c r="S177" s="17" t="n"/>
      <c r="T177" s="21">
        <f>IF(S177="","",IFERROR(INDEX(Carreras!$D$2:$D$152,MATCH(S177,Carreras!$A$2:$A$152,0)),"En Umbral"))</f>
        <v/>
      </c>
      <c r="U177" s="18" t="n"/>
      <c r="V177" s="18" t="n"/>
      <c r="W177" s="18" t="n"/>
      <c r="X177" s="17" t="n"/>
      <c r="Y177" s="22" t="n"/>
      <c r="Z177" s="17" t="n"/>
      <c r="AA177" s="17" t="n"/>
    </row>
    <row r="178">
      <c r="A178" s="17" t="n"/>
      <c r="B178" s="17" t="n"/>
      <c r="C178" s="18" t="n"/>
      <c r="D178" s="19" t="n"/>
      <c r="E178" s="17" t="n"/>
      <c r="F178" s="17" t="n"/>
      <c r="G178" s="17" t="n"/>
      <c r="H178" s="17" t="n"/>
      <c r="I178" s="17" t="n"/>
      <c r="J178" s="17" t="n"/>
      <c r="K178" s="17" t="n"/>
      <c r="L178" s="20" t="n"/>
      <c r="M178" s="18" t="n"/>
      <c r="N178" s="17" t="n"/>
      <c r="O178" s="18" t="n"/>
      <c r="P178" s="17" t="n"/>
      <c r="Q178" s="17" t="n"/>
      <c r="R178" s="17" t="n"/>
      <c r="S178" s="17" t="n"/>
      <c r="T178" s="21">
        <f>IF(S178="","",IFERROR(INDEX(Carreras!$D$2:$D$152,MATCH(S178,Carreras!$A$2:$A$152,0)),"En Umbral"))</f>
        <v/>
      </c>
      <c r="U178" s="18" t="n"/>
      <c r="V178" s="18" t="n"/>
      <c r="W178" s="18" t="n"/>
      <c r="X178" s="17" t="n"/>
      <c r="Y178" s="22" t="n"/>
      <c r="Z178" s="17" t="n"/>
      <c r="AA178" s="17" t="n"/>
    </row>
    <row r="179">
      <c r="A179" s="17" t="n"/>
      <c r="B179" s="17" t="n"/>
      <c r="C179" s="18" t="n"/>
      <c r="D179" s="19" t="n"/>
      <c r="E179" s="17" t="n"/>
      <c r="F179" s="17" t="n"/>
      <c r="G179" s="17" t="n"/>
      <c r="H179" s="17" t="n"/>
      <c r="I179" s="17" t="n"/>
      <c r="J179" s="17" t="n"/>
      <c r="K179" s="17" t="n"/>
      <c r="L179" s="20" t="n"/>
      <c r="M179" s="18" t="n"/>
      <c r="N179" s="17" t="n"/>
      <c r="O179" s="18" t="n"/>
      <c r="P179" s="17" t="n"/>
      <c r="Q179" s="17" t="n"/>
      <c r="R179" s="17" t="n"/>
      <c r="S179" s="17" t="n"/>
      <c r="T179" s="21">
        <f>IF(S179="","",IFERROR(INDEX(Carreras!$D$2:$D$152,MATCH(S179,Carreras!$A$2:$A$152,0)),"En Umbral"))</f>
        <v/>
      </c>
      <c r="U179" s="18" t="n"/>
      <c r="V179" s="18" t="n"/>
      <c r="W179" s="18" t="n"/>
      <c r="X179" s="17" t="n"/>
      <c r="Y179" s="22" t="n"/>
      <c r="Z179" s="17" t="n"/>
      <c r="AA179" s="17" t="n"/>
    </row>
    <row r="180">
      <c r="A180" s="17" t="n"/>
      <c r="B180" s="17" t="n"/>
      <c r="C180" s="18" t="n"/>
      <c r="D180" s="19" t="n"/>
      <c r="E180" s="17" t="n"/>
      <c r="F180" s="17" t="n"/>
      <c r="G180" s="17" t="n"/>
      <c r="H180" s="17" t="n"/>
      <c r="I180" s="17" t="n"/>
      <c r="J180" s="17" t="n"/>
      <c r="K180" s="17" t="n"/>
      <c r="L180" s="20" t="n"/>
      <c r="M180" s="18" t="n"/>
      <c r="N180" s="17" t="n"/>
      <c r="O180" s="18" t="n"/>
      <c r="P180" s="17" t="n"/>
      <c r="Q180" s="17" t="n"/>
      <c r="R180" s="17" t="n"/>
      <c r="S180" s="17" t="n"/>
      <c r="T180" s="21">
        <f>IF(S180="","",IFERROR(INDEX(Carreras!$D$2:$D$152,MATCH(S180,Carreras!$A$2:$A$152,0)),"En Umbral"))</f>
        <v/>
      </c>
      <c r="U180" s="18" t="n"/>
      <c r="V180" s="18" t="n"/>
      <c r="W180" s="18" t="n"/>
      <c r="X180" s="17" t="n"/>
      <c r="Y180" s="22" t="n"/>
      <c r="Z180" s="17" t="n"/>
      <c r="AA180" s="17" t="n"/>
    </row>
    <row r="181">
      <c r="A181" s="17" t="n"/>
      <c r="B181" s="17" t="n"/>
      <c r="C181" s="18" t="n"/>
      <c r="D181" s="19" t="n"/>
      <c r="E181" s="17" t="n"/>
      <c r="F181" s="17" t="n"/>
      <c r="G181" s="17" t="n"/>
      <c r="H181" s="17" t="n"/>
      <c r="I181" s="17" t="n"/>
      <c r="J181" s="17" t="n"/>
      <c r="K181" s="17" t="n"/>
      <c r="L181" s="20" t="n"/>
      <c r="M181" s="18" t="n"/>
      <c r="N181" s="17" t="n"/>
      <c r="O181" s="18" t="n"/>
      <c r="P181" s="17" t="n"/>
      <c r="Q181" s="17" t="n"/>
      <c r="R181" s="17" t="n"/>
      <c r="S181" s="17" t="n"/>
      <c r="T181" s="21">
        <f>IF(S181="","",IFERROR(INDEX(Carreras!$D$2:$D$152,MATCH(S181,Carreras!$A$2:$A$152,0)),"En Umbral"))</f>
        <v/>
      </c>
      <c r="U181" s="18" t="n"/>
      <c r="V181" s="18" t="n"/>
      <c r="W181" s="18" t="n"/>
      <c r="X181" s="17" t="n"/>
      <c r="Y181" s="22" t="n"/>
      <c r="Z181" s="17" t="n"/>
      <c r="AA181" s="17" t="n"/>
    </row>
    <row r="182">
      <c r="A182" s="17" t="n"/>
      <c r="B182" s="17" t="n"/>
      <c r="C182" s="18" t="n"/>
      <c r="D182" s="19" t="n"/>
      <c r="E182" s="17" t="n"/>
      <c r="F182" s="17" t="n"/>
      <c r="G182" s="17" t="n"/>
      <c r="H182" s="17" t="n"/>
      <c r="I182" s="17" t="n"/>
      <c r="J182" s="17" t="n"/>
      <c r="K182" s="17" t="n"/>
      <c r="L182" s="20" t="n"/>
      <c r="M182" s="18" t="n"/>
      <c r="N182" s="17" t="n"/>
      <c r="O182" s="18" t="n"/>
      <c r="P182" s="17" t="n"/>
      <c r="Q182" s="17" t="n"/>
      <c r="R182" s="17" t="n"/>
      <c r="S182" s="17" t="n"/>
      <c r="T182" s="21">
        <f>IF(S182="","",IFERROR(INDEX(Carreras!$D$2:$D$152,MATCH(S182,Carreras!$A$2:$A$152,0)),"En Umbral"))</f>
        <v/>
      </c>
      <c r="U182" s="18" t="n"/>
      <c r="V182" s="18" t="n"/>
      <c r="W182" s="18" t="n"/>
      <c r="X182" s="17" t="n"/>
      <c r="Y182" s="22" t="n"/>
      <c r="Z182" s="17" t="n"/>
      <c r="AA182" s="17" t="n"/>
    </row>
    <row r="183">
      <c r="A183" s="17" t="n"/>
      <c r="B183" s="17" t="n"/>
      <c r="C183" s="18" t="n"/>
      <c r="D183" s="19" t="n"/>
      <c r="E183" s="17" t="n"/>
      <c r="F183" s="17" t="n"/>
      <c r="G183" s="17" t="n"/>
      <c r="H183" s="17" t="n"/>
      <c r="I183" s="17" t="n"/>
      <c r="J183" s="17" t="n"/>
      <c r="K183" s="17" t="n"/>
      <c r="L183" s="20" t="n"/>
      <c r="M183" s="18" t="n"/>
      <c r="N183" s="17" t="n"/>
      <c r="O183" s="18" t="n"/>
      <c r="P183" s="17" t="n"/>
      <c r="Q183" s="17" t="n"/>
      <c r="R183" s="17" t="n"/>
      <c r="S183" s="17" t="n"/>
      <c r="T183" s="21">
        <f>IF(S183="","",IFERROR(INDEX(Carreras!$D$2:$D$152,MATCH(S183,Carreras!$A$2:$A$152,0)),"En Umbral"))</f>
        <v/>
      </c>
      <c r="U183" s="18" t="n"/>
      <c r="V183" s="18" t="n"/>
      <c r="W183" s="18" t="n"/>
      <c r="X183" s="17" t="n"/>
      <c r="Y183" s="22" t="n"/>
      <c r="Z183" s="17" t="n"/>
      <c r="AA183" s="17" t="n"/>
    </row>
    <row r="184">
      <c r="A184" s="17" t="n"/>
      <c r="B184" s="17" t="n"/>
      <c r="C184" s="18" t="n"/>
      <c r="D184" s="19" t="n"/>
      <c r="E184" s="17" t="n"/>
      <c r="F184" s="17" t="n"/>
      <c r="G184" s="17" t="n"/>
      <c r="H184" s="17" t="n"/>
      <c r="I184" s="17" t="n"/>
      <c r="J184" s="17" t="n"/>
      <c r="K184" s="17" t="n"/>
      <c r="L184" s="20" t="n"/>
      <c r="M184" s="18" t="n"/>
      <c r="N184" s="17" t="n"/>
      <c r="O184" s="18" t="n"/>
      <c r="P184" s="17" t="n"/>
      <c r="Q184" s="17" t="n"/>
      <c r="R184" s="17" t="n"/>
      <c r="S184" s="17" t="n"/>
      <c r="T184" s="21">
        <f>IF(S184="","",IFERROR(INDEX(Carreras!$D$2:$D$152,MATCH(S184,Carreras!$A$2:$A$152,0)),"En Umbral"))</f>
        <v/>
      </c>
      <c r="U184" s="18" t="n"/>
      <c r="V184" s="18" t="n"/>
      <c r="W184" s="18" t="n"/>
      <c r="X184" s="17" t="n"/>
      <c r="Y184" s="22" t="n"/>
      <c r="Z184" s="17" t="n"/>
      <c r="AA184" s="17" t="n"/>
    </row>
    <row r="185">
      <c r="A185" s="17" t="n"/>
      <c r="B185" s="17" t="n"/>
      <c r="C185" s="18" t="n"/>
      <c r="D185" s="19" t="n"/>
      <c r="E185" s="17" t="n"/>
      <c r="F185" s="17" t="n"/>
      <c r="G185" s="17" t="n"/>
      <c r="H185" s="17" t="n"/>
      <c r="I185" s="17" t="n"/>
      <c r="J185" s="17" t="n"/>
      <c r="K185" s="17" t="n"/>
      <c r="L185" s="20" t="n"/>
      <c r="M185" s="18" t="n"/>
      <c r="N185" s="17" t="n"/>
      <c r="O185" s="18" t="n"/>
      <c r="P185" s="17" t="n"/>
      <c r="Q185" s="17" t="n"/>
      <c r="R185" s="17" t="n"/>
      <c r="S185" s="17" t="n"/>
      <c r="T185" s="21">
        <f>IF(S185="","",IFERROR(INDEX(Carreras!$D$2:$D$152,MATCH(S185,Carreras!$A$2:$A$152,0)),"En Umbral"))</f>
        <v/>
      </c>
      <c r="U185" s="18" t="n"/>
      <c r="V185" s="18" t="n"/>
      <c r="W185" s="18" t="n"/>
      <c r="X185" s="17" t="n"/>
      <c r="Y185" s="22" t="n"/>
      <c r="Z185" s="17" t="n"/>
      <c r="AA185" s="17" t="n"/>
    </row>
    <row r="186">
      <c r="A186" s="17" t="n"/>
      <c r="B186" s="17" t="n"/>
      <c r="C186" s="18" t="n"/>
      <c r="D186" s="19" t="n"/>
      <c r="E186" s="17" t="n"/>
      <c r="F186" s="17" t="n"/>
      <c r="G186" s="17" t="n"/>
      <c r="H186" s="17" t="n"/>
      <c r="I186" s="17" t="n"/>
      <c r="J186" s="17" t="n"/>
      <c r="K186" s="17" t="n"/>
      <c r="L186" s="20" t="n"/>
      <c r="M186" s="18" t="n"/>
      <c r="N186" s="17" t="n"/>
      <c r="O186" s="18" t="n"/>
      <c r="P186" s="17" t="n"/>
      <c r="Q186" s="17" t="n"/>
      <c r="R186" s="17" t="n"/>
      <c r="S186" s="17" t="n"/>
      <c r="T186" s="21">
        <f>IF(S186="","",IFERROR(INDEX(Carreras!$D$2:$D$152,MATCH(S186,Carreras!$A$2:$A$152,0)),"En Umbral"))</f>
        <v/>
      </c>
      <c r="U186" s="18" t="n"/>
      <c r="V186" s="18" t="n"/>
      <c r="W186" s="18" t="n"/>
      <c r="X186" s="17" t="n"/>
      <c r="Y186" s="22" t="n"/>
      <c r="Z186" s="17" t="n"/>
      <c r="AA186" s="17" t="n"/>
    </row>
    <row r="187">
      <c r="A187" s="17" t="n"/>
      <c r="B187" s="17" t="n"/>
      <c r="C187" s="18" t="n"/>
      <c r="D187" s="19" t="n"/>
      <c r="E187" s="17" t="n"/>
      <c r="F187" s="17" t="n"/>
      <c r="G187" s="17" t="n"/>
      <c r="H187" s="17" t="n"/>
      <c r="I187" s="17" t="n"/>
      <c r="J187" s="17" t="n"/>
      <c r="K187" s="17" t="n"/>
      <c r="L187" s="20" t="n"/>
      <c r="M187" s="18" t="n"/>
      <c r="N187" s="17" t="n"/>
      <c r="O187" s="18" t="n"/>
      <c r="P187" s="17" t="n"/>
      <c r="Q187" s="17" t="n"/>
      <c r="R187" s="17" t="n"/>
      <c r="S187" s="17" t="n"/>
      <c r="T187" s="21">
        <f>IF(S187="","",IFERROR(INDEX(Carreras!$D$2:$D$152,MATCH(S187,Carreras!$A$2:$A$152,0)),"En Umbral"))</f>
        <v/>
      </c>
      <c r="U187" s="18" t="n"/>
      <c r="V187" s="18" t="n"/>
      <c r="W187" s="18" t="n"/>
      <c r="X187" s="17" t="n"/>
      <c r="Y187" s="22" t="n"/>
      <c r="Z187" s="17" t="n"/>
      <c r="AA187" s="17" t="n"/>
    </row>
    <row r="188">
      <c r="A188" s="17" t="n"/>
      <c r="B188" s="17" t="n"/>
      <c r="C188" s="18" t="n"/>
      <c r="D188" s="19" t="n"/>
      <c r="E188" s="17" t="n"/>
      <c r="F188" s="17" t="n"/>
      <c r="G188" s="17" t="n"/>
      <c r="H188" s="17" t="n"/>
      <c r="I188" s="17" t="n"/>
      <c r="J188" s="17" t="n"/>
      <c r="K188" s="17" t="n"/>
      <c r="L188" s="20" t="n"/>
      <c r="M188" s="18" t="n"/>
      <c r="N188" s="17" t="n"/>
      <c r="O188" s="18" t="n"/>
      <c r="P188" s="17" t="n"/>
      <c r="Q188" s="17" t="n"/>
      <c r="R188" s="17" t="n"/>
      <c r="S188" s="17" t="n"/>
      <c r="T188" s="21">
        <f>IF(S188="","",IFERROR(INDEX(Carreras!$D$2:$D$152,MATCH(S188,Carreras!$A$2:$A$152,0)),"En Umbral"))</f>
        <v/>
      </c>
      <c r="U188" s="18" t="n"/>
      <c r="V188" s="18" t="n"/>
      <c r="W188" s="18" t="n"/>
      <c r="X188" s="17" t="n"/>
      <c r="Y188" s="22" t="n"/>
      <c r="Z188" s="17" t="n"/>
      <c r="AA188" s="17" t="n"/>
    </row>
    <row r="189">
      <c r="A189" s="17" t="n"/>
      <c r="B189" s="17" t="n"/>
      <c r="C189" s="18" t="n"/>
      <c r="D189" s="19" t="n"/>
      <c r="E189" s="17" t="n"/>
      <c r="F189" s="17" t="n"/>
      <c r="G189" s="17" t="n"/>
      <c r="H189" s="17" t="n"/>
      <c r="I189" s="17" t="n"/>
      <c r="J189" s="17" t="n"/>
      <c r="K189" s="17" t="n"/>
      <c r="L189" s="20" t="n"/>
      <c r="M189" s="18" t="n"/>
      <c r="N189" s="17" t="n"/>
      <c r="O189" s="18" t="n"/>
      <c r="P189" s="17" t="n"/>
      <c r="Q189" s="17" t="n"/>
      <c r="R189" s="17" t="n"/>
      <c r="S189" s="17" t="n"/>
      <c r="T189" s="21">
        <f>IF(S189="","",IFERROR(INDEX(Carreras!$D$2:$D$152,MATCH(S189,Carreras!$A$2:$A$152,0)),"En Umbral"))</f>
        <v/>
      </c>
      <c r="U189" s="18" t="n"/>
      <c r="V189" s="18" t="n"/>
      <c r="W189" s="18" t="n"/>
      <c r="X189" s="17" t="n"/>
      <c r="Y189" s="22" t="n"/>
      <c r="Z189" s="17" t="n"/>
      <c r="AA189" s="17" t="n"/>
    </row>
    <row r="190">
      <c r="A190" s="17" t="n"/>
      <c r="B190" s="17" t="n"/>
      <c r="C190" s="18" t="n"/>
      <c r="D190" s="19" t="n"/>
      <c r="E190" s="17" t="n"/>
      <c r="F190" s="17" t="n"/>
      <c r="G190" s="17" t="n"/>
      <c r="H190" s="17" t="n"/>
      <c r="I190" s="17" t="n"/>
      <c r="J190" s="17" t="n"/>
      <c r="K190" s="17" t="n"/>
      <c r="L190" s="20" t="n"/>
      <c r="M190" s="18" t="n"/>
      <c r="N190" s="17" t="n"/>
      <c r="O190" s="18" t="n"/>
      <c r="P190" s="17" t="n"/>
      <c r="Q190" s="17" t="n"/>
      <c r="R190" s="17" t="n"/>
      <c r="S190" s="17" t="n"/>
      <c r="T190" s="21">
        <f>IF(S190="","",IFERROR(INDEX(Carreras!$D$2:$D$152,MATCH(S190,Carreras!$A$2:$A$152,0)),"En Umbral"))</f>
        <v/>
      </c>
      <c r="U190" s="18" t="n"/>
      <c r="V190" s="18" t="n"/>
      <c r="W190" s="18" t="n"/>
      <c r="X190" s="17" t="n"/>
      <c r="Y190" s="22" t="n"/>
      <c r="Z190" s="17" t="n"/>
      <c r="AA190" s="17" t="n"/>
    </row>
    <row r="191">
      <c r="A191" s="17" t="n"/>
      <c r="B191" s="17" t="n"/>
      <c r="C191" s="18" t="n"/>
      <c r="D191" s="19" t="n"/>
      <c r="E191" s="17" t="n"/>
      <c r="F191" s="17" t="n"/>
      <c r="G191" s="17" t="n"/>
      <c r="H191" s="17" t="n"/>
      <c r="I191" s="17" t="n"/>
      <c r="J191" s="17" t="n"/>
      <c r="K191" s="17" t="n"/>
      <c r="L191" s="20" t="n"/>
      <c r="M191" s="18" t="n"/>
      <c r="N191" s="17" t="n"/>
      <c r="O191" s="18" t="n"/>
      <c r="P191" s="17" t="n"/>
      <c r="Q191" s="17" t="n"/>
      <c r="R191" s="17" t="n"/>
      <c r="S191" s="17" t="n"/>
      <c r="T191" s="21">
        <f>IF(S191="","",IFERROR(INDEX(Carreras!$D$2:$D$152,MATCH(S191,Carreras!$A$2:$A$152,0)),"En Umbral"))</f>
        <v/>
      </c>
      <c r="U191" s="18" t="n"/>
      <c r="V191" s="18" t="n"/>
      <c r="W191" s="18" t="n"/>
      <c r="X191" s="17" t="n"/>
      <c r="Y191" s="22" t="n"/>
      <c r="Z191" s="17" t="n"/>
      <c r="AA191" s="17" t="n"/>
    </row>
    <row r="192">
      <c r="A192" s="17" t="n"/>
      <c r="B192" s="17" t="n"/>
      <c r="C192" s="18" t="n"/>
      <c r="D192" s="19" t="n"/>
      <c r="E192" s="17" t="n"/>
      <c r="F192" s="17" t="n"/>
      <c r="G192" s="17" t="n"/>
      <c r="H192" s="17" t="n"/>
      <c r="I192" s="17" t="n"/>
      <c r="J192" s="17" t="n"/>
      <c r="K192" s="17" t="n"/>
      <c r="L192" s="20" t="n"/>
      <c r="M192" s="18" t="n"/>
      <c r="N192" s="17" t="n"/>
      <c r="O192" s="18" t="n"/>
      <c r="P192" s="17" t="n"/>
      <c r="Q192" s="17" t="n"/>
      <c r="R192" s="17" t="n"/>
      <c r="S192" s="17" t="n"/>
      <c r="T192" s="21">
        <f>IF(S192="","",IFERROR(INDEX(Carreras!$D$2:$D$152,MATCH(S192,Carreras!$A$2:$A$152,0)),"En Umbral"))</f>
        <v/>
      </c>
      <c r="U192" s="18" t="n"/>
      <c r="V192" s="18" t="n"/>
      <c r="W192" s="18" t="n"/>
      <c r="X192" s="17" t="n"/>
      <c r="Y192" s="22" t="n"/>
      <c r="Z192" s="17" t="n"/>
      <c r="AA192" s="17" t="n"/>
    </row>
    <row r="193">
      <c r="A193" s="17" t="n"/>
      <c r="B193" s="17" t="n"/>
      <c r="C193" s="18" t="n"/>
      <c r="D193" s="19" t="n"/>
      <c r="E193" s="17" t="n"/>
      <c r="F193" s="17" t="n"/>
      <c r="G193" s="17" t="n"/>
      <c r="H193" s="17" t="n"/>
      <c r="I193" s="17" t="n"/>
      <c r="J193" s="17" t="n"/>
      <c r="K193" s="17" t="n"/>
      <c r="L193" s="20" t="n"/>
      <c r="M193" s="18" t="n"/>
      <c r="N193" s="17" t="n"/>
      <c r="O193" s="18" t="n"/>
      <c r="P193" s="17" t="n"/>
      <c r="Q193" s="17" t="n"/>
      <c r="R193" s="17" t="n"/>
      <c r="S193" s="17" t="n"/>
      <c r="T193" s="21">
        <f>IF(S193="","",IFERROR(INDEX(Carreras!$D$2:$D$152,MATCH(S193,Carreras!$A$2:$A$152,0)),"En Umbral"))</f>
        <v/>
      </c>
      <c r="U193" s="18" t="n"/>
      <c r="V193" s="18" t="n"/>
      <c r="W193" s="18" t="n"/>
      <c r="X193" s="17" t="n"/>
      <c r="Y193" s="22" t="n"/>
      <c r="Z193" s="17" t="n"/>
      <c r="AA193" s="17" t="n"/>
    </row>
    <row r="194">
      <c r="A194" s="17" t="n"/>
      <c r="B194" s="17" t="n"/>
      <c r="C194" s="18" t="n"/>
      <c r="D194" s="19" t="n"/>
      <c r="E194" s="17" t="n"/>
      <c r="F194" s="17" t="n"/>
      <c r="G194" s="17" t="n"/>
      <c r="H194" s="17" t="n"/>
      <c r="I194" s="17" t="n"/>
      <c r="J194" s="17" t="n"/>
      <c r="K194" s="17" t="n"/>
      <c r="L194" s="20" t="n"/>
      <c r="M194" s="18" t="n"/>
      <c r="N194" s="17" t="n"/>
      <c r="O194" s="18" t="n"/>
      <c r="P194" s="17" t="n"/>
      <c r="Q194" s="17" t="n"/>
      <c r="R194" s="17" t="n"/>
      <c r="S194" s="17" t="n"/>
      <c r="T194" s="21">
        <f>IF(S194="","",IFERROR(INDEX(Carreras!$D$2:$D$152,MATCH(S194,Carreras!$A$2:$A$152,0)),"En Umbral"))</f>
        <v/>
      </c>
      <c r="U194" s="18" t="n"/>
      <c r="V194" s="18" t="n"/>
      <c r="W194" s="18" t="n"/>
      <c r="X194" s="17" t="n"/>
      <c r="Y194" s="22" t="n"/>
      <c r="Z194" s="17" t="n"/>
      <c r="AA194" s="17" t="n"/>
    </row>
    <row r="195">
      <c r="A195" s="17" t="n"/>
      <c r="B195" s="17" t="n"/>
      <c r="C195" s="18" t="n"/>
      <c r="D195" s="19" t="n"/>
      <c r="E195" s="17" t="n"/>
      <c r="F195" s="17" t="n"/>
      <c r="G195" s="17" t="n"/>
      <c r="H195" s="17" t="n"/>
      <c r="I195" s="17" t="n"/>
      <c r="J195" s="17" t="n"/>
      <c r="K195" s="17" t="n"/>
      <c r="L195" s="20" t="n"/>
      <c r="M195" s="18" t="n"/>
      <c r="N195" s="17" t="n"/>
      <c r="O195" s="18" t="n"/>
      <c r="P195" s="17" t="n"/>
      <c r="Q195" s="17" t="n"/>
      <c r="R195" s="17" t="n"/>
      <c r="S195" s="17" t="n"/>
      <c r="T195" s="21">
        <f>IF(S195="","",IFERROR(INDEX(Carreras!$D$2:$D$152,MATCH(S195,Carreras!$A$2:$A$152,0)),"En Umbral"))</f>
        <v/>
      </c>
      <c r="U195" s="18" t="n"/>
      <c r="V195" s="18" t="n"/>
      <c r="W195" s="18" t="n"/>
      <c r="X195" s="17" t="n"/>
      <c r="Y195" s="22" t="n"/>
      <c r="Z195" s="17" t="n"/>
      <c r="AA195" s="17" t="n"/>
    </row>
    <row r="196">
      <c r="A196" s="17" t="n"/>
      <c r="B196" s="17" t="n"/>
      <c r="C196" s="18" t="n"/>
      <c r="D196" s="19" t="n"/>
      <c r="E196" s="17" t="n"/>
      <c r="F196" s="17" t="n"/>
      <c r="G196" s="17" t="n"/>
      <c r="H196" s="17" t="n"/>
      <c r="I196" s="17" t="n"/>
      <c r="J196" s="17" t="n"/>
      <c r="K196" s="17" t="n"/>
      <c r="L196" s="20" t="n"/>
      <c r="M196" s="18" t="n"/>
      <c r="N196" s="17" t="n"/>
      <c r="O196" s="18" t="n"/>
      <c r="P196" s="17" t="n"/>
      <c r="Q196" s="17" t="n"/>
      <c r="R196" s="17" t="n"/>
      <c r="S196" s="17" t="n"/>
      <c r="T196" s="21">
        <f>IF(S196="","",IFERROR(INDEX(Carreras!$D$2:$D$152,MATCH(S196,Carreras!$A$2:$A$152,0)),"En Umbral"))</f>
        <v/>
      </c>
      <c r="U196" s="18" t="n"/>
      <c r="V196" s="18" t="n"/>
      <c r="W196" s="18" t="n"/>
      <c r="X196" s="17" t="n"/>
      <c r="Y196" s="22" t="n"/>
      <c r="Z196" s="17" t="n"/>
      <c r="AA196" s="17" t="n"/>
    </row>
    <row r="197">
      <c r="A197" s="17" t="n"/>
      <c r="B197" s="17" t="n"/>
      <c r="C197" s="18" t="n"/>
      <c r="D197" s="19" t="n"/>
      <c r="E197" s="17" t="n"/>
      <c r="F197" s="17" t="n"/>
      <c r="G197" s="17" t="n"/>
      <c r="H197" s="17" t="n"/>
      <c r="I197" s="17" t="n"/>
      <c r="J197" s="17" t="n"/>
      <c r="K197" s="17" t="n"/>
      <c r="L197" s="20" t="n"/>
      <c r="M197" s="18" t="n"/>
      <c r="N197" s="17" t="n"/>
      <c r="O197" s="18" t="n"/>
      <c r="P197" s="17" t="n"/>
      <c r="Q197" s="17" t="n"/>
      <c r="R197" s="17" t="n"/>
      <c r="S197" s="17" t="n"/>
      <c r="T197" s="21">
        <f>IF(S197="","",IFERROR(INDEX(Carreras!$D$2:$D$152,MATCH(S197,Carreras!$A$2:$A$152,0)),"En Umbral"))</f>
        <v/>
      </c>
      <c r="U197" s="18" t="n"/>
      <c r="V197" s="18" t="n"/>
      <c r="W197" s="18" t="n"/>
      <c r="X197" s="17" t="n"/>
      <c r="Y197" s="22" t="n"/>
      <c r="Z197" s="17" t="n"/>
      <c r="AA197" s="17" t="n"/>
    </row>
    <row r="198">
      <c r="A198" s="17" t="n"/>
      <c r="B198" s="17" t="n"/>
      <c r="C198" s="18" t="n"/>
      <c r="D198" s="19" t="n"/>
      <c r="E198" s="17" t="n"/>
      <c r="F198" s="17" t="n"/>
      <c r="G198" s="17" t="n"/>
      <c r="H198" s="17" t="n"/>
      <c r="I198" s="17" t="n"/>
      <c r="J198" s="17" t="n"/>
      <c r="K198" s="17" t="n"/>
      <c r="L198" s="20" t="n"/>
      <c r="M198" s="18" t="n"/>
      <c r="N198" s="17" t="n"/>
      <c r="O198" s="18" t="n"/>
      <c r="P198" s="17" t="n"/>
      <c r="Q198" s="17" t="n"/>
      <c r="R198" s="17" t="n"/>
      <c r="S198" s="17" t="n"/>
      <c r="T198" s="21">
        <f>IF(S198="","",IFERROR(INDEX(Carreras!$D$2:$D$152,MATCH(S198,Carreras!$A$2:$A$152,0)),"En Umbral"))</f>
        <v/>
      </c>
      <c r="U198" s="18" t="n"/>
      <c r="V198" s="18" t="n"/>
      <c r="W198" s="18" t="n"/>
      <c r="X198" s="17" t="n"/>
      <c r="Y198" s="22" t="n"/>
      <c r="Z198" s="17" t="n"/>
      <c r="AA198" s="17" t="n"/>
    </row>
    <row r="199">
      <c r="A199" s="17" t="n"/>
      <c r="B199" s="17" t="n"/>
      <c r="C199" s="18" t="n"/>
      <c r="D199" s="19" t="n"/>
      <c r="E199" s="17" t="n"/>
      <c r="F199" s="17" t="n"/>
      <c r="G199" s="17" t="n"/>
      <c r="H199" s="17" t="n"/>
      <c r="I199" s="17" t="n"/>
      <c r="J199" s="17" t="n"/>
      <c r="K199" s="17" t="n"/>
      <c r="L199" s="20" t="n"/>
      <c r="M199" s="18" t="n"/>
      <c r="N199" s="17" t="n"/>
      <c r="O199" s="18" t="n"/>
      <c r="P199" s="17" t="n"/>
      <c r="Q199" s="17" t="n"/>
      <c r="R199" s="17" t="n"/>
      <c r="S199" s="17" t="n"/>
      <c r="T199" s="21">
        <f>IF(S199="","",IFERROR(INDEX(Carreras!$D$2:$D$152,MATCH(S199,Carreras!$A$2:$A$152,0)),"En Umbral"))</f>
        <v/>
      </c>
      <c r="U199" s="18" t="n"/>
      <c r="V199" s="18" t="n"/>
      <c r="W199" s="18" t="n"/>
      <c r="X199" s="17" t="n"/>
      <c r="Y199" s="22" t="n"/>
      <c r="Z199" s="17" t="n"/>
      <c r="AA199" s="17" t="n"/>
    </row>
    <row r="200">
      <c r="A200" s="17" t="n"/>
      <c r="B200" s="17" t="n"/>
      <c r="C200" s="18" t="n"/>
      <c r="D200" s="19" t="n"/>
      <c r="E200" s="17" t="n"/>
      <c r="F200" s="17" t="n"/>
      <c r="G200" s="17" t="n"/>
      <c r="H200" s="17" t="n"/>
      <c r="I200" s="17" t="n"/>
      <c r="J200" s="17" t="n"/>
      <c r="K200" s="17" t="n"/>
      <c r="L200" s="20" t="n"/>
      <c r="M200" s="18" t="n"/>
      <c r="N200" s="17" t="n"/>
      <c r="O200" s="18" t="n"/>
      <c r="P200" s="17" t="n"/>
      <c r="Q200" s="17" t="n"/>
      <c r="R200" s="17" t="n"/>
      <c r="S200" s="17" t="n"/>
      <c r="T200" s="21">
        <f>IF(S200="","",IFERROR(INDEX(Carreras!$D$2:$D$152,MATCH(S200,Carreras!$A$2:$A$152,0)),"En Umbral"))</f>
        <v/>
      </c>
      <c r="U200" s="18" t="n"/>
      <c r="V200" s="18" t="n"/>
      <c r="W200" s="18" t="n"/>
      <c r="X200" s="17" t="n"/>
      <c r="Y200" s="22" t="n"/>
      <c r="Z200" s="17" t="n"/>
      <c r="AA200" s="17" t="n"/>
    </row>
    <row r="201">
      <c r="A201" s="17" t="n"/>
      <c r="B201" s="17" t="n"/>
      <c r="C201" s="18" t="n"/>
      <c r="D201" s="19" t="n"/>
      <c r="E201" s="17" t="n"/>
      <c r="F201" s="17" t="n"/>
      <c r="G201" s="17" t="n"/>
      <c r="H201" s="17" t="n"/>
      <c r="I201" s="17" t="n"/>
      <c r="J201" s="17" t="n"/>
      <c r="K201" s="17" t="n"/>
      <c r="L201" s="20" t="n"/>
      <c r="M201" s="18" t="n"/>
      <c r="N201" s="17" t="n"/>
      <c r="O201" s="18" t="n"/>
      <c r="P201" s="17" t="n"/>
      <c r="Q201" s="17" t="n"/>
      <c r="R201" s="17" t="n"/>
      <c r="S201" s="17" t="n"/>
      <c r="T201" s="21">
        <f>IF(S201="","",IFERROR(INDEX(Carreras!$D$2:$D$152,MATCH(S201,Carreras!$A$2:$A$152,0)),"En Umbral"))</f>
        <v/>
      </c>
      <c r="U201" s="18" t="n"/>
      <c r="V201" s="18" t="n"/>
      <c r="W201" s="18" t="n"/>
      <c r="X201" s="17" t="n"/>
      <c r="Y201" s="22" t="n"/>
      <c r="Z201" s="17" t="n"/>
      <c r="AA201" s="17" t="n"/>
    </row>
    <row r="202">
      <c r="A202" s="17" t="n"/>
      <c r="B202" s="17" t="n"/>
      <c r="C202" s="18" t="n"/>
      <c r="D202" s="19" t="n"/>
      <c r="E202" s="17" t="n"/>
      <c r="F202" s="17" t="n"/>
      <c r="G202" s="17" t="n"/>
      <c r="H202" s="17" t="n"/>
      <c r="I202" s="17" t="n"/>
      <c r="J202" s="17" t="n"/>
      <c r="K202" s="17" t="n"/>
      <c r="L202" s="20" t="n"/>
      <c r="M202" s="18" t="n"/>
      <c r="N202" s="17" t="n"/>
      <c r="O202" s="18" t="n"/>
      <c r="P202" s="17" t="n"/>
      <c r="Q202" s="17" t="n"/>
      <c r="R202" s="17" t="n"/>
      <c r="S202" s="17" t="n"/>
      <c r="T202" s="21">
        <f>IF(S202="","",IFERROR(INDEX(Carreras!$D$2:$D$152,MATCH(S202,Carreras!$A$2:$A$152,0)),"En Umbral"))</f>
        <v/>
      </c>
      <c r="U202" s="18" t="n"/>
      <c r="V202" s="18" t="n"/>
      <c r="W202" s="18" t="n"/>
      <c r="X202" s="17" t="n"/>
      <c r="Y202" s="22" t="n"/>
      <c r="Z202" s="17" t="n"/>
      <c r="AA202" s="17" t="n"/>
    </row>
    <row r="203">
      <c r="A203" s="17" t="n"/>
      <c r="B203" s="17" t="n"/>
      <c r="C203" s="18" t="n"/>
      <c r="D203" s="19" t="n"/>
      <c r="E203" s="17" t="n"/>
      <c r="F203" s="17" t="n"/>
      <c r="G203" s="17" t="n"/>
      <c r="H203" s="17" t="n"/>
      <c r="I203" s="17" t="n"/>
      <c r="J203" s="17" t="n"/>
      <c r="K203" s="17" t="n"/>
      <c r="L203" s="20" t="n"/>
      <c r="M203" s="18" t="n"/>
      <c r="N203" s="17" t="n"/>
      <c r="O203" s="18" t="n"/>
      <c r="P203" s="17" t="n"/>
      <c r="Q203" s="17" t="n"/>
      <c r="R203" s="17" t="n"/>
      <c r="S203" s="17" t="n"/>
      <c r="T203" s="21">
        <f>IF(S203="","",IFERROR(INDEX(Carreras!$D$2:$D$152,MATCH(S203,Carreras!$A$2:$A$152,0)),"En Umbral"))</f>
        <v/>
      </c>
      <c r="U203" s="18" t="n"/>
      <c r="V203" s="18" t="n"/>
      <c r="W203" s="18" t="n"/>
      <c r="X203" s="17" t="n"/>
      <c r="Y203" s="22" t="n"/>
      <c r="Z203" s="17" t="n"/>
      <c r="AA203" s="17" t="n"/>
    </row>
    <row r="204">
      <c r="A204" s="17" t="n"/>
      <c r="B204" s="17" t="n"/>
      <c r="C204" s="18" t="n"/>
      <c r="D204" s="19" t="n"/>
      <c r="E204" s="17" t="n"/>
      <c r="F204" s="17" t="n"/>
      <c r="G204" s="17" t="n"/>
      <c r="H204" s="17" t="n"/>
      <c r="I204" s="17" t="n"/>
      <c r="J204" s="17" t="n"/>
      <c r="K204" s="17" t="n"/>
      <c r="L204" s="20" t="n"/>
      <c r="M204" s="18" t="n"/>
      <c r="N204" s="17" t="n"/>
      <c r="O204" s="18" t="n"/>
      <c r="P204" s="17" t="n"/>
      <c r="Q204" s="17" t="n"/>
      <c r="R204" s="17" t="n"/>
      <c r="S204" s="17" t="n"/>
      <c r="T204" s="21">
        <f>IF(S204="","",IFERROR(INDEX(Carreras!$D$2:$D$152,MATCH(S204,Carreras!$A$2:$A$152,0)),"En Umbral"))</f>
        <v/>
      </c>
      <c r="U204" s="18" t="n"/>
      <c r="V204" s="18" t="n"/>
      <c r="W204" s="18" t="n"/>
      <c r="X204" s="17" t="n"/>
      <c r="Y204" s="22" t="n"/>
      <c r="Z204" s="17" t="n"/>
      <c r="AA204" s="17" t="n"/>
    </row>
    <row r="205">
      <c r="A205" s="17" t="n"/>
      <c r="B205" s="17" t="n"/>
      <c r="C205" s="18" t="n"/>
      <c r="D205" s="19" t="n"/>
      <c r="E205" s="17" t="n"/>
      <c r="F205" s="17" t="n"/>
      <c r="G205" s="17" t="n"/>
      <c r="H205" s="17" t="n"/>
      <c r="I205" s="17" t="n"/>
      <c r="J205" s="17" t="n"/>
      <c r="K205" s="17" t="n"/>
      <c r="L205" s="20" t="n"/>
      <c r="M205" s="18" t="n"/>
      <c r="N205" s="17" t="n"/>
      <c r="O205" s="18" t="n"/>
      <c r="P205" s="17" t="n"/>
      <c r="Q205" s="17" t="n"/>
      <c r="R205" s="17" t="n"/>
      <c r="S205" s="17" t="n"/>
      <c r="T205" s="21">
        <f>IF(S205="","",IFERROR(INDEX(Carreras!$D$2:$D$152,MATCH(S205,Carreras!$A$2:$A$152,0)),"En Umbral"))</f>
        <v/>
      </c>
      <c r="U205" s="18" t="n"/>
      <c r="V205" s="18" t="n"/>
      <c r="W205" s="18" t="n"/>
      <c r="X205" s="17" t="n"/>
      <c r="Y205" s="22" t="n"/>
      <c r="Z205" s="17" t="n"/>
      <c r="AA205" s="17" t="n"/>
    </row>
    <row r="206">
      <c r="A206" s="17" t="n"/>
      <c r="B206" s="17" t="n"/>
      <c r="C206" s="18" t="n"/>
      <c r="D206" s="19" t="n"/>
      <c r="E206" s="17" t="n"/>
      <c r="F206" s="17" t="n"/>
      <c r="G206" s="17" t="n"/>
      <c r="H206" s="17" t="n"/>
      <c r="I206" s="17" t="n"/>
      <c r="J206" s="17" t="n"/>
      <c r="K206" s="17" t="n"/>
      <c r="L206" s="20" t="n"/>
      <c r="M206" s="18" t="n"/>
      <c r="N206" s="17" t="n"/>
      <c r="O206" s="18" t="n"/>
      <c r="P206" s="17" t="n"/>
      <c r="Q206" s="17" t="n"/>
      <c r="R206" s="17" t="n"/>
      <c r="S206" s="17" t="n"/>
      <c r="T206" s="21">
        <f>IF(S206="","",IFERROR(INDEX(Carreras!$D$2:$D$152,MATCH(S206,Carreras!$A$2:$A$152,0)),"En Umbral"))</f>
        <v/>
      </c>
      <c r="U206" s="18" t="n"/>
      <c r="V206" s="18" t="n"/>
      <c r="W206" s="18" t="n"/>
      <c r="X206" s="17" t="n"/>
      <c r="Y206" s="22" t="n"/>
      <c r="Z206" s="17" t="n"/>
      <c r="AA206" s="17" t="n"/>
    </row>
    <row r="207">
      <c r="A207" s="17" t="n"/>
      <c r="B207" s="17" t="n"/>
      <c r="C207" s="18" t="n"/>
      <c r="D207" s="19" t="n"/>
      <c r="E207" s="17" t="n"/>
      <c r="F207" s="17" t="n"/>
      <c r="G207" s="17" t="n"/>
      <c r="H207" s="17" t="n"/>
      <c r="I207" s="17" t="n"/>
      <c r="J207" s="17" t="n"/>
      <c r="K207" s="17" t="n"/>
      <c r="L207" s="20" t="n"/>
      <c r="M207" s="18" t="n"/>
      <c r="N207" s="17" t="n"/>
      <c r="O207" s="18" t="n"/>
      <c r="P207" s="17" t="n"/>
      <c r="Q207" s="17" t="n"/>
      <c r="R207" s="17" t="n"/>
      <c r="S207" s="17" t="n"/>
      <c r="T207" s="21">
        <f>IF(S207="","",IFERROR(INDEX(Carreras!$D$2:$D$152,MATCH(S207,Carreras!$A$2:$A$152,0)),"En Umbral"))</f>
        <v/>
      </c>
      <c r="U207" s="18" t="n"/>
      <c r="V207" s="18" t="n"/>
      <c r="W207" s="18" t="n"/>
      <c r="X207" s="17" t="n"/>
      <c r="Y207" s="22" t="n"/>
      <c r="Z207" s="17" t="n"/>
      <c r="AA207" s="17" t="n"/>
    </row>
    <row r="208">
      <c r="A208" s="17" t="n"/>
      <c r="B208" s="17" t="n"/>
      <c r="C208" s="18" t="n"/>
      <c r="D208" s="19" t="n"/>
      <c r="E208" s="17" t="n"/>
      <c r="F208" s="17" t="n"/>
      <c r="G208" s="17" t="n"/>
      <c r="H208" s="17" t="n"/>
      <c r="I208" s="17" t="n"/>
      <c r="J208" s="17" t="n"/>
      <c r="K208" s="17" t="n"/>
      <c r="L208" s="20" t="n"/>
      <c r="M208" s="18" t="n"/>
      <c r="N208" s="17" t="n"/>
      <c r="O208" s="18" t="n"/>
      <c r="P208" s="17" t="n"/>
      <c r="Q208" s="17" t="n"/>
      <c r="R208" s="17" t="n"/>
      <c r="S208" s="17" t="n"/>
      <c r="T208" s="21">
        <f>IF(S208="","",IFERROR(INDEX(Carreras!$D$2:$D$152,MATCH(S208,Carreras!$A$2:$A$152,0)),"En Umbral"))</f>
        <v/>
      </c>
      <c r="U208" s="18" t="n"/>
      <c r="V208" s="18" t="n"/>
      <c r="W208" s="18" t="n"/>
      <c r="X208" s="17" t="n"/>
      <c r="Y208" s="22" t="n"/>
      <c r="Z208" s="17" t="n"/>
      <c r="AA208" s="17" t="n"/>
    </row>
    <row r="209">
      <c r="A209" s="17" t="n"/>
      <c r="B209" s="17" t="n"/>
      <c r="C209" s="18" t="n"/>
      <c r="D209" s="19" t="n"/>
      <c r="E209" s="17" t="n"/>
      <c r="F209" s="17" t="n"/>
      <c r="G209" s="17" t="n"/>
      <c r="H209" s="17" t="n"/>
      <c r="I209" s="17" t="n"/>
      <c r="J209" s="17" t="n"/>
      <c r="K209" s="17" t="n"/>
      <c r="L209" s="20" t="n"/>
      <c r="M209" s="18" t="n"/>
      <c r="N209" s="17" t="n"/>
      <c r="O209" s="18" t="n"/>
      <c r="P209" s="17" t="n"/>
      <c r="Q209" s="17" t="n"/>
      <c r="R209" s="17" t="n"/>
      <c r="S209" s="17" t="n"/>
      <c r="T209" s="21">
        <f>IF(S209="","",IFERROR(INDEX(Carreras!$D$2:$D$152,MATCH(S209,Carreras!$A$2:$A$152,0)),"En Umbral"))</f>
        <v/>
      </c>
      <c r="U209" s="18" t="n"/>
      <c r="V209" s="18" t="n"/>
      <c r="W209" s="18" t="n"/>
      <c r="X209" s="17" t="n"/>
      <c r="Y209" s="22" t="n"/>
      <c r="Z209" s="17" t="n"/>
      <c r="AA209" s="17" t="n"/>
    </row>
    <row r="210">
      <c r="A210" s="17" t="n"/>
      <c r="B210" s="17" t="n"/>
      <c r="C210" s="18" t="n"/>
      <c r="D210" s="19" t="n"/>
      <c r="E210" s="17" t="n"/>
      <c r="F210" s="17" t="n"/>
      <c r="G210" s="17" t="n"/>
      <c r="H210" s="17" t="n"/>
      <c r="I210" s="17" t="n"/>
      <c r="J210" s="17" t="n"/>
      <c r="K210" s="17" t="n"/>
      <c r="L210" s="20" t="n"/>
      <c r="M210" s="18" t="n"/>
      <c r="N210" s="17" t="n"/>
      <c r="O210" s="18" t="n"/>
      <c r="P210" s="17" t="n"/>
      <c r="Q210" s="17" t="n"/>
      <c r="R210" s="17" t="n"/>
      <c r="S210" s="17" t="n"/>
      <c r="T210" s="21">
        <f>IF(S210="","",IFERROR(INDEX(Carreras!$D$2:$D$152,MATCH(S210,Carreras!$A$2:$A$152,0)),"En Umbral"))</f>
        <v/>
      </c>
      <c r="U210" s="18" t="n"/>
      <c r="V210" s="18" t="n"/>
      <c r="W210" s="18" t="n"/>
      <c r="X210" s="17" t="n"/>
      <c r="Y210" s="22" t="n"/>
      <c r="Z210" s="17" t="n"/>
      <c r="AA210" s="17" t="n"/>
    </row>
    <row r="211">
      <c r="A211" s="17" t="n"/>
      <c r="B211" s="17" t="n"/>
      <c r="C211" s="18" t="n"/>
      <c r="D211" s="19" t="n"/>
      <c r="E211" s="17" t="n"/>
      <c r="F211" s="17" t="n"/>
      <c r="G211" s="17" t="n"/>
      <c r="H211" s="17" t="n"/>
      <c r="I211" s="17" t="n"/>
      <c r="J211" s="17" t="n"/>
      <c r="K211" s="17" t="n"/>
      <c r="L211" s="20" t="n"/>
      <c r="M211" s="18" t="n"/>
      <c r="N211" s="17" t="n"/>
      <c r="O211" s="18" t="n"/>
      <c r="P211" s="17" t="n"/>
      <c r="Q211" s="17" t="n"/>
      <c r="R211" s="17" t="n"/>
      <c r="S211" s="17" t="n"/>
      <c r="T211" s="21">
        <f>IF(S211="","",IFERROR(INDEX(Carreras!$D$2:$D$152,MATCH(S211,Carreras!$A$2:$A$152,0)),"En Umbral"))</f>
        <v/>
      </c>
      <c r="U211" s="18" t="n"/>
      <c r="V211" s="18" t="n"/>
      <c r="W211" s="18" t="n"/>
      <c r="X211" s="17" t="n"/>
      <c r="Y211" s="22" t="n"/>
      <c r="Z211" s="17" t="n"/>
      <c r="AA211" s="17" t="n"/>
    </row>
    <row r="212">
      <c r="A212" s="17" t="n"/>
      <c r="B212" s="17" t="n"/>
      <c r="C212" s="18" t="n"/>
      <c r="D212" s="19" t="n"/>
      <c r="E212" s="17" t="n"/>
      <c r="F212" s="17" t="n"/>
      <c r="G212" s="17" t="n"/>
      <c r="H212" s="17" t="n"/>
      <c r="I212" s="17" t="n"/>
      <c r="J212" s="17" t="n"/>
      <c r="K212" s="17" t="n"/>
      <c r="L212" s="20" t="n"/>
      <c r="M212" s="18" t="n"/>
      <c r="N212" s="17" t="n"/>
      <c r="O212" s="18" t="n"/>
      <c r="P212" s="17" t="n"/>
      <c r="Q212" s="17" t="n"/>
      <c r="R212" s="17" t="n"/>
      <c r="S212" s="17" t="n"/>
      <c r="T212" s="21">
        <f>IF(S212="","",IFERROR(INDEX(Carreras!$D$2:$D$152,MATCH(S212,Carreras!$A$2:$A$152,0)),"En Umbral"))</f>
        <v/>
      </c>
      <c r="U212" s="18" t="n"/>
      <c r="V212" s="18" t="n"/>
      <c r="W212" s="18" t="n"/>
      <c r="X212" s="17" t="n"/>
      <c r="Y212" s="22" t="n"/>
      <c r="Z212" s="17" t="n"/>
      <c r="AA212" s="17" t="n"/>
    </row>
    <row r="213">
      <c r="A213" s="17" t="n"/>
      <c r="B213" s="17" t="n"/>
      <c r="C213" s="18" t="n"/>
      <c r="D213" s="19" t="n"/>
      <c r="E213" s="17" t="n"/>
      <c r="F213" s="17" t="n"/>
      <c r="G213" s="17" t="n"/>
      <c r="H213" s="17" t="n"/>
      <c r="I213" s="17" t="n"/>
      <c r="J213" s="17" t="n"/>
      <c r="K213" s="17" t="n"/>
      <c r="L213" s="20" t="n"/>
      <c r="M213" s="18" t="n"/>
      <c r="N213" s="17" t="n"/>
      <c r="O213" s="18" t="n"/>
      <c r="P213" s="17" t="n"/>
      <c r="Q213" s="17" t="n"/>
      <c r="R213" s="17" t="n"/>
      <c r="S213" s="17" t="n"/>
      <c r="T213" s="21">
        <f>IF(S213="","",IFERROR(INDEX(Carreras!$D$2:$D$152,MATCH(S213,Carreras!$A$2:$A$152,0)),"En Umbral"))</f>
        <v/>
      </c>
      <c r="U213" s="18" t="n"/>
      <c r="V213" s="18" t="n"/>
      <c r="W213" s="18" t="n"/>
      <c r="X213" s="17" t="n"/>
      <c r="Y213" s="22" t="n"/>
      <c r="Z213" s="17" t="n"/>
      <c r="AA213" s="17" t="n"/>
    </row>
    <row r="214">
      <c r="A214" s="17" t="n"/>
      <c r="B214" s="17" t="n"/>
      <c r="C214" s="18" t="n"/>
      <c r="D214" s="19" t="n"/>
      <c r="E214" s="17" t="n"/>
      <c r="F214" s="17" t="n"/>
      <c r="G214" s="17" t="n"/>
      <c r="H214" s="17" t="n"/>
      <c r="I214" s="17" t="n"/>
      <c r="J214" s="17" t="n"/>
      <c r="K214" s="17" t="n"/>
      <c r="L214" s="20" t="n"/>
      <c r="M214" s="18" t="n"/>
      <c r="N214" s="17" t="n"/>
      <c r="O214" s="18" t="n"/>
      <c r="P214" s="17" t="n"/>
      <c r="Q214" s="17" t="n"/>
      <c r="R214" s="17" t="n"/>
      <c r="S214" s="17" t="n"/>
      <c r="T214" s="21">
        <f>IF(S214="","",IFERROR(INDEX(Carreras!$D$2:$D$152,MATCH(S214,Carreras!$A$2:$A$152,0)),"En Umbral"))</f>
        <v/>
      </c>
      <c r="U214" s="18" t="n"/>
      <c r="V214" s="18" t="n"/>
      <c r="W214" s="18" t="n"/>
      <c r="X214" s="17" t="n"/>
      <c r="Y214" s="22" t="n"/>
      <c r="Z214" s="17" t="n"/>
      <c r="AA214" s="17" t="n"/>
    </row>
    <row r="215">
      <c r="A215" s="17" t="n"/>
      <c r="B215" s="17" t="n"/>
      <c r="C215" s="18" t="n"/>
      <c r="D215" s="19" t="n"/>
      <c r="E215" s="17" t="n"/>
      <c r="F215" s="17" t="n"/>
      <c r="G215" s="17" t="n"/>
      <c r="H215" s="17" t="n"/>
      <c r="I215" s="17" t="n"/>
      <c r="J215" s="17" t="n"/>
      <c r="K215" s="17" t="n"/>
      <c r="L215" s="20" t="n"/>
      <c r="M215" s="18" t="n"/>
      <c r="N215" s="17" t="n"/>
      <c r="O215" s="18" t="n"/>
      <c r="P215" s="17" t="n"/>
      <c r="Q215" s="17" t="n"/>
      <c r="R215" s="17" t="n"/>
      <c r="S215" s="17" t="n"/>
      <c r="T215" s="21">
        <f>IF(S215="","",IFERROR(INDEX(Carreras!$D$2:$D$152,MATCH(S215,Carreras!$A$2:$A$152,0)),"En Umbral"))</f>
        <v/>
      </c>
      <c r="U215" s="18" t="n"/>
      <c r="V215" s="18" t="n"/>
      <c r="W215" s="18" t="n"/>
      <c r="X215" s="17" t="n"/>
      <c r="Y215" s="22" t="n"/>
      <c r="Z215" s="17" t="n"/>
      <c r="AA215" s="17" t="n"/>
    </row>
    <row r="216">
      <c r="A216" s="17" t="n"/>
      <c r="B216" s="17" t="n"/>
      <c r="C216" s="18" t="n"/>
      <c r="D216" s="19" t="n"/>
      <c r="E216" s="17" t="n"/>
      <c r="F216" s="17" t="n"/>
      <c r="G216" s="17" t="n"/>
      <c r="H216" s="17" t="n"/>
      <c r="I216" s="17" t="n"/>
      <c r="J216" s="17" t="n"/>
      <c r="K216" s="17" t="n"/>
      <c r="L216" s="20" t="n"/>
      <c r="M216" s="18" t="n"/>
      <c r="N216" s="17" t="n"/>
      <c r="O216" s="18" t="n"/>
      <c r="P216" s="17" t="n"/>
      <c r="Q216" s="17" t="n"/>
      <c r="R216" s="17" t="n"/>
      <c r="S216" s="17" t="n"/>
      <c r="T216" s="21">
        <f>IF(S216="","",IFERROR(INDEX(Carreras!$D$2:$D$152,MATCH(S216,Carreras!$A$2:$A$152,0)),"En Umbral"))</f>
        <v/>
      </c>
      <c r="U216" s="18" t="n"/>
      <c r="V216" s="18" t="n"/>
      <c r="W216" s="18" t="n"/>
      <c r="X216" s="17" t="n"/>
      <c r="Y216" s="22" t="n"/>
      <c r="Z216" s="17" t="n"/>
      <c r="AA216" s="17" t="n"/>
    </row>
    <row r="217">
      <c r="A217" s="17" t="n"/>
      <c r="B217" s="17" t="n"/>
      <c r="C217" s="18" t="n"/>
      <c r="D217" s="19" t="n"/>
      <c r="E217" s="17" t="n"/>
      <c r="F217" s="17" t="n"/>
      <c r="G217" s="17" t="n"/>
      <c r="H217" s="17" t="n"/>
      <c r="I217" s="17" t="n"/>
      <c r="J217" s="17" t="n"/>
      <c r="K217" s="17" t="n"/>
      <c r="L217" s="20" t="n"/>
      <c r="M217" s="18" t="n"/>
      <c r="N217" s="17" t="n"/>
      <c r="O217" s="18" t="n"/>
      <c r="P217" s="17" t="n"/>
      <c r="Q217" s="17" t="n"/>
      <c r="R217" s="17" t="n"/>
      <c r="S217" s="17" t="n"/>
      <c r="T217" s="21">
        <f>IF(S217="","",IFERROR(INDEX(Carreras!$D$2:$D$152,MATCH(S217,Carreras!$A$2:$A$152,0)),"En Umbral"))</f>
        <v/>
      </c>
      <c r="U217" s="18" t="n"/>
      <c r="V217" s="18" t="n"/>
      <c r="W217" s="18" t="n"/>
      <c r="X217" s="17" t="n"/>
      <c r="Y217" s="22" t="n"/>
      <c r="Z217" s="17" t="n"/>
      <c r="AA217" s="17" t="n"/>
    </row>
    <row r="218">
      <c r="A218" s="17" t="n"/>
      <c r="B218" s="17" t="n"/>
      <c r="C218" s="18" t="n"/>
      <c r="D218" s="19" t="n"/>
      <c r="E218" s="17" t="n"/>
      <c r="F218" s="17" t="n"/>
      <c r="G218" s="17" t="n"/>
      <c r="H218" s="17" t="n"/>
      <c r="I218" s="17" t="n"/>
      <c r="J218" s="17" t="n"/>
      <c r="K218" s="17" t="n"/>
      <c r="L218" s="20" t="n"/>
      <c r="M218" s="18" t="n"/>
      <c r="N218" s="17" t="n"/>
      <c r="O218" s="18" t="n"/>
      <c r="P218" s="17" t="n"/>
      <c r="Q218" s="17" t="n"/>
      <c r="R218" s="17" t="n"/>
      <c r="S218" s="17" t="n"/>
      <c r="T218" s="21">
        <f>IF(S218="","",IFERROR(INDEX(Carreras!$D$2:$D$152,MATCH(S218,Carreras!$A$2:$A$152,0)),"En Umbral"))</f>
        <v/>
      </c>
      <c r="U218" s="18" t="n"/>
      <c r="V218" s="18" t="n"/>
      <c r="W218" s="18" t="n"/>
      <c r="X218" s="17" t="n"/>
      <c r="Y218" s="22" t="n"/>
      <c r="Z218" s="17" t="n"/>
      <c r="AA218" s="17" t="n"/>
    </row>
    <row r="219">
      <c r="A219" s="17" t="n"/>
      <c r="B219" s="17" t="n"/>
      <c r="C219" s="18" t="n"/>
      <c r="D219" s="19" t="n"/>
      <c r="E219" s="17" t="n"/>
      <c r="F219" s="17" t="n"/>
      <c r="G219" s="17" t="n"/>
      <c r="H219" s="17" t="n"/>
      <c r="I219" s="17" t="n"/>
      <c r="J219" s="17" t="n"/>
      <c r="K219" s="17" t="n"/>
      <c r="L219" s="20" t="n"/>
      <c r="M219" s="18" t="n"/>
      <c r="N219" s="17" t="n"/>
      <c r="O219" s="18" t="n"/>
      <c r="P219" s="17" t="n"/>
      <c r="Q219" s="17" t="n"/>
      <c r="R219" s="17" t="n"/>
      <c r="S219" s="17" t="n"/>
      <c r="T219" s="21">
        <f>IF(S219="","",IFERROR(INDEX(Carreras!$D$2:$D$152,MATCH(S219,Carreras!$A$2:$A$152,0)),"En Umbral"))</f>
        <v/>
      </c>
      <c r="U219" s="18" t="n"/>
      <c r="V219" s="18" t="n"/>
      <c r="W219" s="18" t="n"/>
      <c r="X219" s="17" t="n"/>
      <c r="Y219" s="22" t="n"/>
      <c r="Z219" s="17" t="n"/>
      <c r="AA219" s="17" t="n"/>
    </row>
    <row r="220">
      <c r="A220" s="17" t="n"/>
      <c r="B220" s="17" t="n"/>
      <c r="C220" s="18" t="n"/>
      <c r="D220" s="19" t="n"/>
      <c r="E220" s="17" t="n"/>
      <c r="F220" s="17" t="n"/>
      <c r="G220" s="17" t="n"/>
      <c r="H220" s="17" t="n"/>
      <c r="I220" s="17" t="n"/>
      <c r="J220" s="17" t="n"/>
      <c r="K220" s="17" t="n"/>
      <c r="L220" s="20" t="n"/>
      <c r="M220" s="18" t="n"/>
      <c r="N220" s="17" t="n"/>
      <c r="O220" s="18" t="n"/>
      <c r="P220" s="17" t="n"/>
      <c r="Q220" s="17" t="n"/>
      <c r="R220" s="17" t="n"/>
      <c r="S220" s="17" t="n"/>
      <c r="T220" s="21">
        <f>IF(S220="","",IFERROR(INDEX(Carreras!$D$2:$D$152,MATCH(S220,Carreras!$A$2:$A$152,0)),"En Umbral"))</f>
        <v/>
      </c>
      <c r="U220" s="18" t="n"/>
      <c r="V220" s="18" t="n"/>
      <c r="W220" s="18" t="n"/>
      <c r="X220" s="17" t="n"/>
      <c r="Y220" s="22" t="n"/>
      <c r="Z220" s="17" t="n"/>
      <c r="AA220" s="17" t="n"/>
    </row>
    <row r="221">
      <c r="A221" s="17" t="n"/>
      <c r="B221" s="17" t="n"/>
      <c r="C221" s="18" t="n"/>
      <c r="D221" s="19" t="n"/>
      <c r="E221" s="17" t="n"/>
      <c r="F221" s="17" t="n"/>
      <c r="G221" s="17" t="n"/>
      <c r="H221" s="17" t="n"/>
      <c r="I221" s="17" t="n"/>
      <c r="J221" s="17" t="n"/>
      <c r="K221" s="17" t="n"/>
      <c r="L221" s="20" t="n"/>
      <c r="M221" s="18" t="n"/>
      <c r="N221" s="17" t="n"/>
      <c r="O221" s="18" t="n"/>
      <c r="P221" s="17" t="n"/>
      <c r="Q221" s="17" t="n"/>
      <c r="R221" s="17" t="n"/>
      <c r="S221" s="17" t="n"/>
      <c r="T221" s="21">
        <f>IF(S221="","",IFERROR(INDEX(Carreras!$D$2:$D$152,MATCH(S221,Carreras!$A$2:$A$152,0)),"En Umbral"))</f>
        <v/>
      </c>
      <c r="U221" s="18" t="n"/>
      <c r="V221" s="18" t="n"/>
      <c r="W221" s="18" t="n"/>
      <c r="X221" s="17" t="n"/>
      <c r="Y221" s="22" t="n"/>
      <c r="Z221" s="17" t="n"/>
      <c r="AA221" s="17" t="n"/>
    </row>
    <row r="222">
      <c r="A222" s="17" t="n"/>
      <c r="B222" s="17" t="n"/>
      <c r="C222" s="18" t="n"/>
      <c r="D222" s="19" t="n"/>
      <c r="E222" s="17" t="n"/>
      <c r="F222" s="17" t="n"/>
      <c r="G222" s="17" t="n"/>
      <c r="H222" s="17" t="n"/>
      <c r="I222" s="17" t="n"/>
      <c r="J222" s="17" t="n"/>
      <c r="K222" s="17" t="n"/>
      <c r="L222" s="20" t="n"/>
      <c r="M222" s="18" t="n"/>
      <c r="N222" s="17" t="n"/>
      <c r="O222" s="18" t="n"/>
      <c r="P222" s="17" t="n"/>
      <c r="Q222" s="17" t="n"/>
      <c r="R222" s="17" t="n"/>
      <c r="S222" s="17" t="n"/>
      <c r="T222" s="21">
        <f>IF(S222="","",IFERROR(INDEX(Carreras!$D$2:$D$152,MATCH(S222,Carreras!$A$2:$A$152,0)),"En Umbral"))</f>
        <v/>
      </c>
      <c r="U222" s="18" t="n"/>
      <c r="V222" s="18" t="n"/>
      <c r="W222" s="18" t="n"/>
      <c r="X222" s="17" t="n"/>
      <c r="Y222" s="22" t="n"/>
      <c r="Z222" s="17" t="n"/>
      <c r="AA222" s="17" t="n"/>
    </row>
    <row r="223">
      <c r="A223" s="17" t="n"/>
      <c r="B223" s="17" t="n"/>
      <c r="C223" s="18" t="n"/>
      <c r="D223" s="19" t="n"/>
      <c r="E223" s="17" t="n"/>
      <c r="F223" s="17" t="n"/>
      <c r="G223" s="17" t="n"/>
      <c r="H223" s="17" t="n"/>
      <c r="I223" s="17" t="n"/>
      <c r="J223" s="17" t="n"/>
      <c r="K223" s="17" t="n"/>
      <c r="L223" s="20" t="n"/>
      <c r="M223" s="18" t="n"/>
      <c r="N223" s="17" t="n"/>
      <c r="O223" s="18" t="n"/>
      <c r="P223" s="17" t="n"/>
      <c r="Q223" s="17" t="n"/>
      <c r="R223" s="17" t="n"/>
      <c r="S223" s="17" t="n"/>
      <c r="T223" s="21">
        <f>IF(S223="","",IFERROR(INDEX(Carreras!$D$2:$D$152,MATCH(S223,Carreras!$A$2:$A$152,0)),"En Umbral"))</f>
        <v/>
      </c>
      <c r="U223" s="18" t="n"/>
      <c r="V223" s="18" t="n"/>
      <c r="W223" s="18" t="n"/>
      <c r="X223" s="17" t="n"/>
      <c r="Y223" s="22" t="n"/>
      <c r="Z223" s="17" t="n"/>
      <c r="AA223" s="17" t="n"/>
    </row>
    <row r="224">
      <c r="A224" s="17" t="n"/>
      <c r="B224" s="17" t="n"/>
      <c r="C224" s="18" t="n"/>
      <c r="D224" s="19" t="n"/>
      <c r="E224" s="17" t="n"/>
      <c r="F224" s="17" t="n"/>
      <c r="G224" s="17" t="n"/>
      <c r="H224" s="17" t="n"/>
      <c r="I224" s="17" t="n"/>
      <c r="J224" s="17" t="n"/>
      <c r="K224" s="17" t="n"/>
      <c r="L224" s="20" t="n"/>
      <c r="M224" s="18" t="n"/>
      <c r="N224" s="17" t="n"/>
      <c r="O224" s="18" t="n"/>
      <c r="P224" s="17" t="n"/>
      <c r="Q224" s="17" t="n"/>
      <c r="R224" s="17" t="n"/>
      <c r="S224" s="17" t="n"/>
      <c r="T224" s="21">
        <f>IF(S224="","",IFERROR(INDEX(Carreras!$D$2:$D$152,MATCH(S224,Carreras!$A$2:$A$152,0)),"En Umbral"))</f>
        <v/>
      </c>
      <c r="U224" s="18" t="n"/>
      <c r="V224" s="18" t="n"/>
      <c r="W224" s="18" t="n"/>
      <c r="X224" s="17" t="n"/>
      <c r="Y224" s="22" t="n"/>
      <c r="Z224" s="17" t="n"/>
      <c r="AA224" s="17" t="n"/>
    </row>
    <row r="225">
      <c r="A225" s="17" t="n"/>
      <c r="B225" s="17" t="n"/>
      <c r="C225" s="18" t="n"/>
      <c r="D225" s="19" t="n"/>
      <c r="E225" s="17" t="n"/>
      <c r="F225" s="17" t="n"/>
      <c r="G225" s="17" t="n"/>
      <c r="H225" s="17" t="n"/>
      <c r="I225" s="17" t="n"/>
      <c r="J225" s="17" t="n"/>
      <c r="K225" s="17" t="n"/>
      <c r="L225" s="20" t="n"/>
      <c r="M225" s="18" t="n"/>
      <c r="N225" s="17" t="n"/>
      <c r="O225" s="18" t="n"/>
      <c r="P225" s="17" t="n"/>
      <c r="Q225" s="17" t="n"/>
      <c r="R225" s="17" t="n"/>
      <c r="S225" s="17" t="n"/>
      <c r="T225" s="21">
        <f>IF(S225="","",IFERROR(INDEX(Carreras!$D$2:$D$152,MATCH(S225,Carreras!$A$2:$A$152,0)),"En Umbral"))</f>
        <v/>
      </c>
      <c r="U225" s="18" t="n"/>
      <c r="V225" s="18" t="n"/>
      <c r="W225" s="18" t="n"/>
      <c r="X225" s="17" t="n"/>
      <c r="Y225" s="22" t="n"/>
      <c r="Z225" s="17" t="n"/>
      <c r="AA225" s="17" t="n"/>
    </row>
    <row r="226">
      <c r="A226" s="17" t="n"/>
      <c r="B226" s="17" t="n"/>
      <c r="C226" s="18" t="n"/>
      <c r="D226" s="19" t="n"/>
      <c r="E226" s="17" t="n"/>
      <c r="F226" s="17" t="n"/>
      <c r="G226" s="17" t="n"/>
      <c r="H226" s="17" t="n"/>
      <c r="I226" s="17" t="n"/>
      <c r="J226" s="17" t="n"/>
      <c r="K226" s="17" t="n"/>
      <c r="L226" s="20" t="n"/>
      <c r="M226" s="18" t="n"/>
      <c r="N226" s="17" t="n"/>
      <c r="O226" s="18" t="n"/>
      <c r="P226" s="17" t="n"/>
      <c r="Q226" s="17" t="n"/>
      <c r="R226" s="17" t="n"/>
      <c r="S226" s="17" t="n"/>
      <c r="T226" s="21">
        <f>IF(S226="","",IFERROR(INDEX(Carreras!$D$2:$D$152,MATCH(S226,Carreras!$A$2:$A$152,0)),"En Umbral"))</f>
        <v/>
      </c>
      <c r="U226" s="18" t="n"/>
      <c r="V226" s="18" t="n"/>
      <c r="W226" s="18" t="n"/>
      <c r="X226" s="17" t="n"/>
      <c r="Y226" s="22" t="n"/>
      <c r="Z226" s="17" t="n"/>
      <c r="AA226" s="17" t="n"/>
    </row>
    <row r="227">
      <c r="A227" s="17" t="n"/>
      <c r="B227" s="17" t="n"/>
      <c r="C227" s="18" t="n"/>
      <c r="D227" s="19" t="n"/>
      <c r="E227" s="17" t="n"/>
      <c r="F227" s="17" t="n"/>
      <c r="G227" s="17" t="n"/>
      <c r="H227" s="17" t="n"/>
      <c r="I227" s="17" t="n"/>
      <c r="J227" s="17" t="n"/>
      <c r="K227" s="17" t="n"/>
      <c r="L227" s="20" t="n"/>
      <c r="M227" s="18" t="n"/>
      <c r="N227" s="17" t="n"/>
      <c r="O227" s="18" t="n"/>
      <c r="P227" s="17" t="n"/>
      <c r="Q227" s="17" t="n"/>
      <c r="R227" s="17" t="n"/>
      <c r="S227" s="17" t="n"/>
      <c r="T227" s="21">
        <f>IF(S227="","",IFERROR(INDEX(Carreras!$D$2:$D$152,MATCH(S227,Carreras!$A$2:$A$152,0)),"En Umbral"))</f>
        <v/>
      </c>
      <c r="U227" s="18" t="n"/>
      <c r="V227" s="18" t="n"/>
      <c r="W227" s="18" t="n"/>
      <c r="X227" s="17" t="n"/>
      <c r="Y227" s="22" t="n"/>
      <c r="Z227" s="17" t="n"/>
      <c r="AA227" s="17" t="n"/>
    </row>
    <row r="228">
      <c r="A228" s="17" t="n"/>
      <c r="B228" s="17" t="n"/>
      <c r="C228" s="18" t="n"/>
      <c r="D228" s="19" t="n"/>
      <c r="E228" s="17" t="n"/>
      <c r="F228" s="17" t="n"/>
      <c r="G228" s="17" t="n"/>
      <c r="H228" s="17" t="n"/>
      <c r="I228" s="17" t="n"/>
      <c r="J228" s="17" t="n"/>
      <c r="K228" s="17" t="n"/>
      <c r="L228" s="20" t="n"/>
      <c r="M228" s="18" t="n"/>
      <c r="N228" s="17" t="n"/>
      <c r="O228" s="18" t="n"/>
      <c r="P228" s="17" t="n"/>
      <c r="Q228" s="17" t="n"/>
      <c r="R228" s="17" t="n"/>
      <c r="S228" s="17" t="n"/>
      <c r="T228" s="21">
        <f>IF(S228="","",IFERROR(INDEX(Carreras!$D$2:$D$152,MATCH(S228,Carreras!$A$2:$A$152,0)),"En Umbral"))</f>
        <v/>
      </c>
      <c r="U228" s="18" t="n"/>
      <c r="V228" s="18" t="n"/>
      <c r="W228" s="18" t="n"/>
      <c r="X228" s="17" t="n"/>
      <c r="Y228" s="22" t="n"/>
      <c r="Z228" s="17" t="n"/>
      <c r="AA228" s="17" t="n"/>
    </row>
    <row r="229">
      <c r="A229" s="17" t="n"/>
      <c r="B229" s="17" t="n"/>
      <c r="C229" s="18" t="n"/>
      <c r="D229" s="19" t="n"/>
      <c r="E229" s="17" t="n"/>
      <c r="F229" s="17" t="n"/>
      <c r="G229" s="17" t="n"/>
      <c r="H229" s="17" t="n"/>
      <c r="I229" s="17" t="n"/>
      <c r="J229" s="17" t="n"/>
      <c r="K229" s="17" t="n"/>
      <c r="L229" s="20" t="n"/>
      <c r="M229" s="18" t="n"/>
      <c r="N229" s="17" t="n"/>
      <c r="O229" s="18" t="n"/>
      <c r="P229" s="17" t="n"/>
      <c r="Q229" s="17" t="n"/>
      <c r="R229" s="17" t="n"/>
      <c r="S229" s="17" t="n"/>
      <c r="T229" s="21">
        <f>IF(S229="","",IFERROR(INDEX(Carreras!$D$2:$D$152,MATCH(S229,Carreras!$A$2:$A$152,0)),"En Umbral"))</f>
        <v/>
      </c>
      <c r="U229" s="18" t="n"/>
      <c r="V229" s="18" t="n"/>
      <c r="W229" s="18" t="n"/>
      <c r="X229" s="17" t="n"/>
      <c r="Y229" s="22" t="n"/>
      <c r="Z229" s="17" t="n"/>
      <c r="AA229" s="17" t="n"/>
    </row>
    <row r="230">
      <c r="A230" s="17" t="n"/>
      <c r="B230" s="17" t="n"/>
      <c r="C230" s="18" t="n"/>
      <c r="D230" s="19" t="n"/>
      <c r="E230" s="17" t="n"/>
      <c r="F230" s="17" t="n"/>
      <c r="G230" s="17" t="n"/>
      <c r="H230" s="17" t="n"/>
      <c r="I230" s="17" t="n"/>
      <c r="J230" s="17" t="n"/>
      <c r="K230" s="17" t="n"/>
      <c r="L230" s="20" t="n"/>
      <c r="M230" s="18" t="n"/>
      <c r="N230" s="17" t="n"/>
      <c r="O230" s="18" t="n"/>
      <c r="P230" s="17" t="n"/>
      <c r="Q230" s="17" t="n"/>
      <c r="R230" s="17" t="n"/>
      <c r="S230" s="17" t="n"/>
      <c r="T230" s="21">
        <f>IF(S230="","",IFERROR(INDEX(Carreras!$D$2:$D$152,MATCH(S230,Carreras!$A$2:$A$152,0)),"En Umbral"))</f>
        <v/>
      </c>
      <c r="U230" s="18" t="n"/>
      <c r="V230" s="18" t="n"/>
      <c r="W230" s="18" t="n"/>
      <c r="X230" s="17" t="n"/>
      <c r="Y230" s="22" t="n"/>
      <c r="Z230" s="17" t="n"/>
      <c r="AA230" s="17" t="n"/>
    </row>
    <row r="231">
      <c r="A231" s="17" t="n"/>
      <c r="B231" s="17" t="n"/>
      <c r="C231" s="18" t="n"/>
      <c r="D231" s="19" t="n"/>
      <c r="E231" s="17" t="n"/>
      <c r="F231" s="17" t="n"/>
      <c r="G231" s="17" t="n"/>
      <c r="H231" s="17" t="n"/>
      <c r="I231" s="17" t="n"/>
      <c r="J231" s="17" t="n"/>
      <c r="K231" s="17" t="n"/>
      <c r="L231" s="20" t="n"/>
      <c r="M231" s="18" t="n"/>
      <c r="N231" s="17" t="n"/>
      <c r="O231" s="18" t="n"/>
      <c r="P231" s="17" t="n"/>
      <c r="Q231" s="17" t="n"/>
      <c r="R231" s="17" t="n"/>
      <c r="S231" s="17" t="n"/>
      <c r="T231" s="21">
        <f>IF(S231="","",IFERROR(INDEX(Carreras!$D$2:$D$152,MATCH(S231,Carreras!$A$2:$A$152,0)),"En Umbral"))</f>
        <v/>
      </c>
      <c r="U231" s="18" t="n"/>
      <c r="V231" s="18" t="n"/>
      <c r="W231" s="18" t="n"/>
      <c r="X231" s="17" t="n"/>
      <c r="Y231" s="22" t="n"/>
      <c r="Z231" s="17" t="n"/>
      <c r="AA231" s="17" t="n"/>
    </row>
    <row r="232">
      <c r="A232" s="17" t="n"/>
      <c r="B232" s="17" t="n"/>
      <c r="C232" s="18" t="n"/>
      <c r="D232" s="19" t="n"/>
      <c r="E232" s="17" t="n"/>
      <c r="F232" s="17" t="n"/>
      <c r="G232" s="17" t="n"/>
      <c r="H232" s="17" t="n"/>
      <c r="I232" s="17" t="n"/>
      <c r="J232" s="17" t="n"/>
      <c r="K232" s="17" t="n"/>
      <c r="L232" s="20" t="n"/>
      <c r="M232" s="18" t="n"/>
      <c r="N232" s="17" t="n"/>
      <c r="O232" s="18" t="n"/>
      <c r="P232" s="17" t="n"/>
      <c r="Q232" s="17" t="n"/>
      <c r="R232" s="17" t="n"/>
      <c r="S232" s="17" t="n"/>
      <c r="T232" s="21">
        <f>IF(S232="","",IFERROR(INDEX(Carreras!$D$2:$D$152,MATCH(S232,Carreras!$A$2:$A$152,0)),"En Umbral"))</f>
        <v/>
      </c>
      <c r="U232" s="18" t="n"/>
      <c r="V232" s="18" t="n"/>
      <c r="W232" s="18" t="n"/>
      <c r="X232" s="17" t="n"/>
      <c r="Y232" s="22" t="n"/>
      <c r="Z232" s="17" t="n"/>
      <c r="AA232" s="17" t="n"/>
    </row>
    <row r="233">
      <c r="A233" s="17" t="n"/>
      <c r="B233" s="17" t="n"/>
      <c r="C233" s="18" t="n"/>
      <c r="D233" s="19" t="n"/>
      <c r="E233" s="17" t="n"/>
      <c r="F233" s="17" t="n"/>
      <c r="G233" s="17" t="n"/>
      <c r="H233" s="17" t="n"/>
      <c r="I233" s="17" t="n"/>
      <c r="J233" s="17" t="n"/>
      <c r="K233" s="17" t="n"/>
      <c r="L233" s="20" t="n"/>
      <c r="M233" s="18" t="n"/>
      <c r="N233" s="17" t="n"/>
      <c r="O233" s="18" t="n"/>
      <c r="P233" s="17" t="n"/>
      <c r="Q233" s="17" t="n"/>
      <c r="R233" s="17" t="n"/>
      <c r="S233" s="17" t="n"/>
      <c r="T233" s="21">
        <f>IF(S233="","",IFERROR(INDEX(Carreras!$D$2:$D$152,MATCH(S233,Carreras!$A$2:$A$152,0)),"En Umbral"))</f>
        <v/>
      </c>
      <c r="U233" s="18" t="n"/>
      <c r="V233" s="18" t="n"/>
      <c r="W233" s="18" t="n"/>
      <c r="X233" s="17" t="n"/>
      <c r="Y233" s="22" t="n"/>
      <c r="Z233" s="17" t="n"/>
      <c r="AA233" s="17" t="n"/>
    </row>
    <row r="234">
      <c r="A234" s="17" t="n"/>
      <c r="B234" s="17" t="n"/>
      <c r="C234" s="18" t="n"/>
      <c r="D234" s="19" t="n"/>
      <c r="E234" s="17" t="n"/>
      <c r="F234" s="17" t="n"/>
      <c r="G234" s="17" t="n"/>
      <c r="H234" s="17" t="n"/>
      <c r="I234" s="17" t="n"/>
      <c r="J234" s="17" t="n"/>
      <c r="K234" s="17" t="n"/>
      <c r="L234" s="20" t="n"/>
      <c r="M234" s="18" t="n"/>
      <c r="N234" s="17" t="n"/>
      <c r="O234" s="18" t="n"/>
      <c r="P234" s="17" t="n"/>
      <c r="Q234" s="17" t="n"/>
      <c r="R234" s="17" t="n"/>
      <c r="S234" s="17" t="n"/>
      <c r="T234" s="21">
        <f>IF(S234="","",IFERROR(INDEX(Carreras!$D$2:$D$152,MATCH(S234,Carreras!$A$2:$A$152,0)),"En Umbral"))</f>
        <v/>
      </c>
      <c r="U234" s="18" t="n"/>
      <c r="V234" s="18" t="n"/>
      <c r="W234" s="18" t="n"/>
      <c r="X234" s="17" t="n"/>
      <c r="Y234" s="22" t="n"/>
      <c r="Z234" s="17" t="n"/>
      <c r="AA234" s="17" t="n"/>
    </row>
    <row r="235">
      <c r="A235" s="17" t="n"/>
      <c r="B235" s="17" t="n"/>
      <c r="C235" s="18" t="n"/>
      <c r="D235" s="19" t="n"/>
      <c r="E235" s="17" t="n"/>
      <c r="F235" s="17" t="n"/>
      <c r="G235" s="17" t="n"/>
      <c r="H235" s="17" t="n"/>
      <c r="I235" s="17" t="n"/>
      <c r="J235" s="17" t="n"/>
      <c r="K235" s="17" t="n"/>
      <c r="L235" s="20" t="n"/>
      <c r="M235" s="18" t="n"/>
      <c r="N235" s="17" t="n"/>
      <c r="O235" s="18" t="n"/>
      <c r="P235" s="17" t="n"/>
      <c r="Q235" s="17" t="n"/>
      <c r="R235" s="17" t="n"/>
      <c r="S235" s="17" t="n"/>
      <c r="T235" s="21">
        <f>IF(S235="","",IFERROR(INDEX(Carreras!$D$2:$D$152,MATCH(S235,Carreras!$A$2:$A$152,0)),"En Umbral"))</f>
        <v/>
      </c>
      <c r="U235" s="18" t="n"/>
      <c r="V235" s="18" t="n"/>
      <c r="W235" s="18" t="n"/>
      <c r="X235" s="17" t="n"/>
      <c r="Y235" s="22" t="n"/>
      <c r="Z235" s="17" t="n"/>
      <c r="AA235" s="17" t="n"/>
    </row>
    <row r="236">
      <c r="A236" s="17" t="n"/>
      <c r="B236" s="17" t="n"/>
      <c r="C236" s="18" t="n"/>
      <c r="D236" s="19" t="n"/>
      <c r="E236" s="17" t="n"/>
      <c r="F236" s="17" t="n"/>
      <c r="G236" s="17" t="n"/>
      <c r="H236" s="17" t="n"/>
      <c r="I236" s="17" t="n"/>
      <c r="J236" s="17" t="n"/>
      <c r="K236" s="17" t="n"/>
      <c r="L236" s="20" t="n"/>
      <c r="M236" s="18" t="n"/>
      <c r="N236" s="17" t="n"/>
      <c r="O236" s="18" t="n"/>
      <c r="P236" s="17" t="n"/>
      <c r="Q236" s="17" t="n"/>
      <c r="R236" s="17" t="n"/>
      <c r="S236" s="17" t="n"/>
      <c r="T236" s="21">
        <f>IF(S236="","",IFERROR(INDEX(Carreras!$D$2:$D$152,MATCH(S236,Carreras!$A$2:$A$152,0)),"En Umbral"))</f>
        <v/>
      </c>
      <c r="U236" s="18" t="n"/>
      <c r="V236" s="18" t="n"/>
      <c r="W236" s="18" t="n"/>
      <c r="X236" s="17" t="n"/>
      <c r="Y236" s="22" t="n"/>
      <c r="Z236" s="17" t="n"/>
      <c r="AA236" s="17" t="n"/>
    </row>
    <row r="237">
      <c r="A237" s="17" t="n"/>
      <c r="B237" s="17" t="n"/>
      <c r="C237" s="18" t="n"/>
      <c r="D237" s="19" t="n"/>
      <c r="E237" s="17" t="n"/>
      <c r="F237" s="17" t="n"/>
      <c r="G237" s="17" t="n"/>
      <c r="H237" s="17" t="n"/>
      <c r="I237" s="17" t="n"/>
      <c r="J237" s="17" t="n"/>
      <c r="K237" s="17" t="n"/>
      <c r="L237" s="20" t="n"/>
      <c r="M237" s="18" t="n"/>
      <c r="N237" s="17" t="n"/>
      <c r="O237" s="18" t="n"/>
      <c r="P237" s="17" t="n"/>
      <c r="Q237" s="17" t="n"/>
      <c r="R237" s="17" t="n"/>
      <c r="S237" s="17" t="n"/>
      <c r="T237" s="21">
        <f>IF(S237="","",IFERROR(INDEX(Carreras!$D$2:$D$152,MATCH(S237,Carreras!$A$2:$A$152,0)),"En Umbral"))</f>
        <v/>
      </c>
      <c r="U237" s="18" t="n"/>
      <c r="V237" s="18" t="n"/>
      <c r="W237" s="18" t="n"/>
      <c r="X237" s="17" t="n"/>
      <c r="Y237" s="22" t="n"/>
      <c r="Z237" s="17" t="n"/>
      <c r="AA237" s="17" t="n"/>
    </row>
    <row r="238">
      <c r="A238" s="17" t="n"/>
      <c r="B238" s="17" t="n"/>
      <c r="C238" s="18" t="n"/>
      <c r="D238" s="19" t="n"/>
      <c r="E238" s="17" t="n"/>
      <c r="F238" s="17" t="n"/>
      <c r="G238" s="17" t="n"/>
      <c r="H238" s="17" t="n"/>
      <c r="I238" s="17" t="n"/>
      <c r="J238" s="17" t="n"/>
      <c r="K238" s="17" t="n"/>
      <c r="L238" s="20" t="n"/>
      <c r="M238" s="18" t="n"/>
      <c r="N238" s="17" t="n"/>
      <c r="O238" s="18" t="n"/>
      <c r="P238" s="17" t="n"/>
      <c r="Q238" s="17" t="n"/>
      <c r="R238" s="17" t="n"/>
      <c r="S238" s="17" t="n"/>
      <c r="T238" s="21">
        <f>IF(S238="","",IFERROR(INDEX(Carreras!$D$2:$D$152,MATCH(S238,Carreras!$A$2:$A$152,0)),"En Umbral"))</f>
        <v/>
      </c>
      <c r="U238" s="18" t="n"/>
      <c r="V238" s="18" t="n"/>
      <c r="W238" s="18" t="n"/>
      <c r="X238" s="17" t="n"/>
      <c r="Y238" s="22" t="n"/>
      <c r="Z238" s="17" t="n"/>
      <c r="AA238" s="17" t="n"/>
    </row>
    <row r="239">
      <c r="A239" s="17" t="n"/>
      <c r="B239" s="17" t="n"/>
      <c r="C239" s="18" t="n"/>
      <c r="D239" s="19" t="n"/>
      <c r="E239" s="17" t="n"/>
      <c r="F239" s="17" t="n"/>
      <c r="G239" s="17" t="n"/>
      <c r="H239" s="17" t="n"/>
      <c r="I239" s="17" t="n"/>
      <c r="J239" s="17" t="n"/>
      <c r="K239" s="17" t="n"/>
      <c r="L239" s="20" t="n"/>
      <c r="M239" s="18" t="n"/>
      <c r="N239" s="17" t="n"/>
      <c r="O239" s="18" t="n"/>
      <c r="P239" s="17" t="n"/>
      <c r="Q239" s="17" t="n"/>
      <c r="R239" s="17" t="n"/>
      <c r="S239" s="17" t="n"/>
      <c r="T239" s="21">
        <f>IF(S239="","",IFERROR(INDEX(Carreras!$D$2:$D$152,MATCH(S239,Carreras!$A$2:$A$152,0)),"En Umbral"))</f>
        <v/>
      </c>
      <c r="U239" s="18" t="n"/>
      <c r="V239" s="18" t="n"/>
      <c r="W239" s="18" t="n"/>
      <c r="X239" s="17" t="n"/>
      <c r="Y239" s="22" t="n"/>
      <c r="Z239" s="17" t="n"/>
      <c r="AA239" s="17" t="n"/>
    </row>
    <row r="240">
      <c r="A240" s="17" t="n"/>
      <c r="B240" s="17" t="n"/>
      <c r="C240" s="18" t="n"/>
      <c r="D240" s="19" t="n"/>
      <c r="E240" s="17" t="n"/>
      <c r="F240" s="17" t="n"/>
      <c r="G240" s="17" t="n"/>
      <c r="H240" s="17" t="n"/>
      <c r="I240" s="17" t="n"/>
      <c r="J240" s="17" t="n"/>
      <c r="K240" s="17" t="n"/>
      <c r="L240" s="20" t="n"/>
      <c r="M240" s="18" t="n"/>
      <c r="N240" s="17" t="n"/>
      <c r="O240" s="18" t="n"/>
      <c r="P240" s="17" t="n"/>
      <c r="Q240" s="17" t="n"/>
      <c r="R240" s="17" t="n"/>
      <c r="S240" s="17" t="n"/>
      <c r="T240" s="21">
        <f>IF(S240="","",IFERROR(INDEX(Carreras!$D$2:$D$152,MATCH(S240,Carreras!$A$2:$A$152,0)),"En Umbral"))</f>
        <v/>
      </c>
      <c r="U240" s="18" t="n"/>
      <c r="V240" s="18" t="n"/>
      <c r="W240" s="18" t="n"/>
      <c r="X240" s="17" t="n"/>
      <c r="Y240" s="22" t="n"/>
      <c r="Z240" s="17" t="n"/>
      <c r="AA240" s="17" t="n"/>
    </row>
    <row r="241">
      <c r="A241" s="17" t="n"/>
      <c r="B241" s="17" t="n"/>
      <c r="C241" s="18" t="n"/>
      <c r="D241" s="19" t="n"/>
      <c r="E241" s="17" t="n"/>
      <c r="F241" s="17" t="n"/>
      <c r="G241" s="17" t="n"/>
      <c r="H241" s="17" t="n"/>
      <c r="I241" s="17" t="n"/>
      <c r="J241" s="17" t="n"/>
      <c r="K241" s="17" t="n"/>
      <c r="L241" s="20" t="n"/>
      <c r="M241" s="18" t="n"/>
      <c r="N241" s="17" t="n"/>
      <c r="O241" s="18" t="n"/>
      <c r="P241" s="17" t="n"/>
      <c r="Q241" s="17" t="n"/>
      <c r="R241" s="17" t="n"/>
      <c r="S241" s="17" t="n"/>
      <c r="T241" s="21">
        <f>IF(S241="","",IFERROR(INDEX(Carreras!$D$2:$D$152,MATCH(S241,Carreras!$A$2:$A$152,0)),"En Umbral"))</f>
        <v/>
      </c>
      <c r="U241" s="18" t="n"/>
      <c r="V241" s="18" t="n"/>
      <c r="W241" s="18" t="n"/>
      <c r="X241" s="17" t="n"/>
      <c r="Y241" s="22" t="n"/>
      <c r="Z241" s="17" t="n"/>
      <c r="AA241" s="17" t="n"/>
    </row>
    <row r="242">
      <c r="A242" s="17" t="n"/>
      <c r="B242" s="17" t="n"/>
      <c r="C242" s="18" t="n"/>
      <c r="D242" s="19" t="n"/>
      <c r="E242" s="17" t="n"/>
      <c r="F242" s="17" t="n"/>
      <c r="G242" s="17" t="n"/>
      <c r="H242" s="17" t="n"/>
      <c r="I242" s="17" t="n"/>
      <c r="J242" s="17" t="n"/>
      <c r="K242" s="17" t="n"/>
      <c r="L242" s="20" t="n"/>
      <c r="M242" s="18" t="n"/>
      <c r="N242" s="17" t="n"/>
      <c r="O242" s="18" t="n"/>
      <c r="P242" s="17" t="n"/>
      <c r="Q242" s="17" t="n"/>
      <c r="R242" s="17" t="n"/>
      <c r="S242" s="17" t="n"/>
      <c r="T242" s="21">
        <f>IF(S242="","",IFERROR(INDEX(Carreras!$D$2:$D$152,MATCH(S242,Carreras!$A$2:$A$152,0)),"En Umbral"))</f>
        <v/>
      </c>
      <c r="U242" s="18" t="n"/>
      <c r="V242" s="18" t="n"/>
      <c r="W242" s="18" t="n"/>
      <c r="X242" s="17" t="n"/>
      <c r="Y242" s="22" t="n"/>
      <c r="Z242" s="17" t="n"/>
      <c r="AA242" s="17" t="n"/>
    </row>
    <row r="243">
      <c r="A243" s="17" t="n"/>
      <c r="B243" s="17" t="n"/>
      <c r="C243" s="18" t="n"/>
      <c r="D243" s="19" t="n"/>
      <c r="E243" s="17" t="n"/>
      <c r="F243" s="17" t="n"/>
      <c r="G243" s="17" t="n"/>
      <c r="H243" s="17" t="n"/>
      <c r="I243" s="17" t="n"/>
      <c r="J243" s="17" t="n"/>
      <c r="K243" s="17" t="n"/>
      <c r="L243" s="20" t="n"/>
      <c r="M243" s="18" t="n"/>
      <c r="N243" s="17" t="n"/>
      <c r="O243" s="18" t="n"/>
      <c r="P243" s="17" t="n"/>
      <c r="Q243" s="17" t="n"/>
      <c r="R243" s="17" t="n"/>
      <c r="S243" s="17" t="n"/>
      <c r="T243" s="21">
        <f>IF(S243="","",IFERROR(INDEX(Carreras!$D$2:$D$152,MATCH(S243,Carreras!$A$2:$A$152,0)),"En Umbral"))</f>
        <v/>
      </c>
      <c r="U243" s="18" t="n"/>
      <c r="V243" s="18" t="n"/>
      <c r="W243" s="18" t="n"/>
      <c r="X243" s="17" t="n"/>
      <c r="Y243" s="22" t="n"/>
      <c r="Z243" s="17" t="n"/>
      <c r="AA243" s="17" t="n"/>
    </row>
    <row r="244">
      <c r="A244" s="17" t="n"/>
      <c r="B244" s="17" t="n"/>
      <c r="C244" s="18" t="n"/>
      <c r="D244" s="19" t="n"/>
      <c r="E244" s="17" t="n"/>
      <c r="F244" s="17" t="n"/>
      <c r="G244" s="17" t="n"/>
      <c r="H244" s="17" t="n"/>
      <c r="I244" s="17" t="n"/>
      <c r="J244" s="17" t="n"/>
      <c r="K244" s="17" t="n"/>
      <c r="L244" s="20" t="n"/>
      <c r="M244" s="18" t="n"/>
      <c r="N244" s="17" t="n"/>
      <c r="O244" s="18" t="n"/>
      <c r="P244" s="17" t="n"/>
      <c r="Q244" s="17" t="n"/>
      <c r="R244" s="17" t="n"/>
      <c r="S244" s="17" t="n"/>
      <c r="T244" s="21">
        <f>IF(S244="","",IFERROR(INDEX(Carreras!$D$2:$D$152,MATCH(S244,Carreras!$A$2:$A$152,0)),"En Umbral"))</f>
        <v/>
      </c>
      <c r="U244" s="18" t="n"/>
      <c r="V244" s="18" t="n"/>
      <c r="W244" s="18" t="n"/>
      <c r="X244" s="17" t="n"/>
      <c r="Y244" s="22" t="n"/>
      <c r="Z244" s="17" t="n"/>
      <c r="AA244" s="17" t="n"/>
    </row>
    <row r="245">
      <c r="A245" s="17" t="n"/>
      <c r="B245" s="17" t="n"/>
      <c r="C245" s="18" t="n"/>
      <c r="D245" s="19" t="n"/>
      <c r="E245" s="17" t="n"/>
      <c r="F245" s="17" t="n"/>
      <c r="G245" s="17" t="n"/>
      <c r="H245" s="17" t="n"/>
      <c r="I245" s="17" t="n"/>
      <c r="J245" s="17" t="n"/>
      <c r="K245" s="17" t="n"/>
      <c r="L245" s="20" t="n"/>
      <c r="M245" s="18" t="n"/>
      <c r="N245" s="17" t="n"/>
      <c r="O245" s="18" t="n"/>
      <c r="P245" s="17" t="n"/>
      <c r="Q245" s="17" t="n"/>
      <c r="R245" s="17" t="n"/>
      <c r="S245" s="17" t="n"/>
      <c r="T245" s="21">
        <f>IF(S245="","",IFERROR(INDEX(Carreras!$D$2:$D$152,MATCH(S245,Carreras!$A$2:$A$152,0)),"En Umbral"))</f>
        <v/>
      </c>
      <c r="U245" s="18" t="n"/>
      <c r="V245" s="18" t="n"/>
      <c r="W245" s="18" t="n"/>
      <c r="X245" s="17" t="n"/>
      <c r="Y245" s="22" t="n"/>
      <c r="Z245" s="17" t="n"/>
      <c r="AA245" s="17" t="n"/>
    </row>
    <row r="246">
      <c r="A246" s="17" t="n"/>
      <c r="B246" s="17" t="n"/>
      <c r="C246" s="18" t="n"/>
      <c r="D246" s="19" t="n"/>
      <c r="E246" s="17" t="n"/>
      <c r="F246" s="17" t="n"/>
      <c r="G246" s="17" t="n"/>
      <c r="H246" s="17" t="n"/>
      <c r="I246" s="17" t="n"/>
      <c r="J246" s="17" t="n"/>
      <c r="K246" s="17" t="n"/>
      <c r="L246" s="20" t="n"/>
      <c r="M246" s="18" t="n"/>
      <c r="N246" s="17" t="n"/>
      <c r="O246" s="18" t="n"/>
      <c r="P246" s="17" t="n"/>
      <c r="Q246" s="17" t="n"/>
      <c r="R246" s="17" t="n"/>
      <c r="S246" s="17" t="n"/>
      <c r="T246" s="21">
        <f>IF(S246="","",IFERROR(INDEX(Carreras!$D$2:$D$152,MATCH(S246,Carreras!$A$2:$A$152,0)),"En Umbral"))</f>
        <v/>
      </c>
      <c r="U246" s="18" t="n"/>
      <c r="V246" s="18" t="n"/>
      <c r="W246" s="18" t="n"/>
      <c r="X246" s="17" t="n"/>
      <c r="Y246" s="22" t="n"/>
      <c r="Z246" s="17" t="n"/>
      <c r="AA246" s="17" t="n"/>
    </row>
    <row r="247">
      <c r="A247" s="17" t="n"/>
      <c r="B247" s="17" t="n"/>
      <c r="C247" s="18" t="n"/>
      <c r="D247" s="19" t="n"/>
      <c r="E247" s="17" t="n"/>
      <c r="F247" s="17" t="n"/>
      <c r="G247" s="17" t="n"/>
      <c r="H247" s="17" t="n"/>
      <c r="I247" s="17" t="n"/>
      <c r="J247" s="17" t="n"/>
      <c r="K247" s="17" t="n"/>
      <c r="L247" s="20" t="n"/>
      <c r="M247" s="18" t="n"/>
      <c r="N247" s="17" t="n"/>
      <c r="O247" s="18" t="n"/>
      <c r="P247" s="17" t="n"/>
      <c r="Q247" s="17" t="n"/>
      <c r="R247" s="17" t="n"/>
      <c r="S247" s="17" t="n"/>
      <c r="T247" s="21">
        <f>IF(S247="","",IFERROR(INDEX(Carreras!$D$2:$D$152,MATCH(S247,Carreras!$A$2:$A$152,0)),"En Umbral"))</f>
        <v/>
      </c>
      <c r="U247" s="18" t="n"/>
      <c r="V247" s="18" t="n"/>
      <c r="W247" s="18" t="n"/>
      <c r="X247" s="17" t="n"/>
      <c r="Y247" s="22" t="n"/>
      <c r="Z247" s="17" t="n"/>
      <c r="AA247" s="17" t="n"/>
    </row>
    <row r="248">
      <c r="A248" s="17" t="n"/>
      <c r="B248" s="17" t="n"/>
      <c r="C248" s="18" t="n"/>
      <c r="D248" s="19" t="n"/>
      <c r="E248" s="17" t="n"/>
      <c r="F248" s="17" t="n"/>
      <c r="G248" s="17" t="n"/>
      <c r="H248" s="17" t="n"/>
      <c r="I248" s="17" t="n"/>
      <c r="J248" s="17" t="n"/>
      <c r="K248" s="17" t="n"/>
      <c r="L248" s="20" t="n"/>
      <c r="M248" s="18" t="n"/>
      <c r="N248" s="17" t="n"/>
      <c r="O248" s="18" t="n"/>
      <c r="P248" s="17" t="n"/>
      <c r="Q248" s="17" t="n"/>
      <c r="R248" s="17" t="n"/>
      <c r="S248" s="17" t="n"/>
      <c r="T248" s="21">
        <f>IF(S248="","",IFERROR(INDEX(Carreras!$D$2:$D$152,MATCH(S248,Carreras!$A$2:$A$152,0)),"En Umbral"))</f>
        <v/>
      </c>
      <c r="U248" s="18" t="n"/>
      <c r="V248" s="18" t="n"/>
      <c r="W248" s="18" t="n"/>
      <c r="X248" s="17" t="n"/>
      <c r="Y248" s="22" t="n"/>
      <c r="Z248" s="17" t="n"/>
      <c r="AA248" s="17" t="n"/>
    </row>
    <row r="249">
      <c r="A249" s="17" t="n"/>
      <c r="B249" s="17" t="n"/>
      <c r="C249" s="18" t="n"/>
      <c r="D249" s="19" t="n"/>
      <c r="E249" s="17" t="n"/>
      <c r="F249" s="17" t="n"/>
      <c r="G249" s="17" t="n"/>
      <c r="H249" s="17" t="n"/>
      <c r="I249" s="17" t="n"/>
      <c r="J249" s="17" t="n"/>
      <c r="K249" s="17" t="n"/>
      <c r="L249" s="20" t="n"/>
      <c r="M249" s="18" t="n"/>
      <c r="N249" s="17" t="n"/>
      <c r="O249" s="18" t="n"/>
      <c r="P249" s="17" t="n"/>
      <c r="Q249" s="17" t="n"/>
      <c r="R249" s="17" t="n"/>
      <c r="S249" s="17" t="n"/>
      <c r="T249" s="21">
        <f>IF(S249="","",IFERROR(INDEX(Carreras!$D$2:$D$152,MATCH(S249,Carreras!$A$2:$A$152,0)),"En Umbral"))</f>
        <v/>
      </c>
      <c r="U249" s="18" t="n"/>
      <c r="V249" s="18" t="n"/>
      <c r="W249" s="18" t="n"/>
      <c r="X249" s="17" t="n"/>
      <c r="Y249" s="22" t="n"/>
      <c r="Z249" s="17" t="n"/>
      <c r="AA249" s="17" t="n"/>
    </row>
    <row r="250">
      <c r="A250" s="17" t="n"/>
      <c r="B250" s="17" t="n"/>
      <c r="C250" s="18" t="n"/>
      <c r="D250" s="19" t="n"/>
      <c r="E250" s="17" t="n"/>
      <c r="F250" s="17" t="n"/>
      <c r="G250" s="17" t="n"/>
      <c r="H250" s="17" t="n"/>
      <c r="I250" s="17" t="n"/>
      <c r="J250" s="17" t="n"/>
      <c r="K250" s="17" t="n"/>
      <c r="L250" s="20" t="n"/>
      <c r="M250" s="18" t="n"/>
      <c r="N250" s="17" t="n"/>
      <c r="O250" s="18" t="n"/>
      <c r="P250" s="17" t="n"/>
      <c r="Q250" s="17" t="n"/>
      <c r="R250" s="17" t="n"/>
      <c r="S250" s="17" t="n"/>
      <c r="T250" s="21">
        <f>IF(S250="","",IFERROR(INDEX(Carreras!$D$2:$D$152,MATCH(S250,Carreras!$A$2:$A$152,0)),"En Umbral"))</f>
        <v/>
      </c>
      <c r="U250" s="18" t="n"/>
      <c r="V250" s="18" t="n"/>
      <c r="W250" s="18" t="n"/>
      <c r="X250" s="17" t="n"/>
      <c r="Y250" s="22" t="n"/>
      <c r="Z250" s="17" t="n"/>
      <c r="AA250" s="17" t="n"/>
    </row>
    <row r="251">
      <c r="A251" s="17" t="n"/>
      <c r="B251" s="17" t="n"/>
      <c r="C251" s="18" t="n"/>
      <c r="D251" s="19" t="n"/>
      <c r="E251" s="17" t="n"/>
      <c r="F251" s="17" t="n"/>
      <c r="G251" s="17" t="n"/>
      <c r="H251" s="17" t="n"/>
      <c r="I251" s="17" t="n"/>
      <c r="J251" s="17" t="n"/>
      <c r="K251" s="17" t="n"/>
      <c r="L251" s="20" t="n"/>
      <c r="M251" s="18" t="n"/>
      <c r="N251" s="17" t="n"/>
      <c r="O251" s="18" t="n"/>
      <c r="P251" s="17" t="n"/>
      <c r="Q251" s="17" t="n"/>
      <c r="R251" s="17" t="n"/>
      <c r="S251" s="17" t="n"/>
      <c r="T251" s="21">
        <f>IF(S251="","",IFERROR(INDEX(Carreras!$D$2:$D$152,MATCH(S251,Carreras!$A$2:$A$152,0)),"En Umbral"))</f>
        <v/>
      </c>
      <c r="U251" s="18" t="n"/>
      <c r="V251" s="18" t="n"/>
      <c r="W251" s="18" t="n"/>
      <c r="X251" s="17" t="n"/>
      <c r="Y251" s="22" t="n"/>
      <c r="Z251" s="17" t="n"/>
      <c r="AA251" s="17" t="n"/>
    </row>
    <row r="252">
      <c r="A252" s="17" t="n"/>
      <c r="B252" s="17" t="n"/>
      <c r="C252" s="18" t="n"/>
      <c r="D252" s="19" t="n"/>
      <c r="E252" s="17" t="n"/>
      <c r="F252" s="17" t="n"/>
      <c r="G252" s="17" t="n"/>
      <c r="H252" s="17" t="n"/>
      <c r="I252" s="17" t="n"/>
      <c r="J252" s="17" t="n"/>
      <c r="K252" s="17" t="n"/>
      <c r="L252" s="20" t="n"/>
      <c r="M252" s="18" t="n"/>
      <c r="N252" s="17" t="n"/>
      <c r="O252" s="18" t="n"/>
      <c r="P252" s="17" t="n"/>
      <c r="Q252" s="17" t="n"/>
      <c r="R252" s="17" t="n"/>
      <c r="S252" s="17" t="n"/>
      <c r="T252" s="21">
        <f>IF(S252="","",IFERROR(INDEX(Carreras!$D$2:$D$152,MATCH(S252,Carreras!$A$2:$A$152,0)),"En Umbral"))</f>
        <v/>
      </c>
      <c r="U252" s="18" t="n"/>
      <c r="V252" s="18" t="n"/>
      <c r="W252" s="18" t="n"/>
      <c r="X252" s="17" t="n"/>
      <c r="Y252" s="22" t="n"/>
      <c r="Z252" s="17" t="n"/>
      <c r="AA252" s="17" t="n"/>
    </row>
    <row r="253">
      <c r="A253" s="17" t="n"/>
      <c r="B253" s="17" t="n"/>
      <c r="C253" s="18" t="n"/>
      <c r="D253" s="19" t="n"/>
      <c r="E253" s="17" t="n"/>
      <c r="F253" s="17" t="n"/>
      <c r="G253" s="17" t="n"/>
      <c r="H253" s="17" t="n"/>
      <c r="I253" s="17" t="n"/>
      <c r="J253" s="17" t="n"/>
      <c r="K253" s="17" t="n"/>
      <c r="L253" s="20" t="n"/>
      <c r="M253" s="18" t="n"/>
      <c r="N253" s="17" t="n"/>
      <c r="O253" s="18" t="n"/>
      <c r="P253" s="17" t="n"/>
      <c r="Q253" s="17" t="n"/>
      <c r="R253" s="17" t="n"/>
      <c r="S253" s="17" t="n"/>
      <c r="T253" s="21">
        <f>IF(S253="","",IFERROR(INDEX(Carreras!$D$2:$D$152,MATCH(S253,Carreras!$A$2:$A$152,0)),"En Umbral"))</f>
        <v/>
      </c>
      <c r="U253" s="18" t="n"/>
      <c r="V253" s="18" t="n"/>
      <c r="W253" s="18" t="n"/>
      <c r="X253" s="17" t="n"/>
      <c r="Y253" s="22" t="n"/>
      <c r="Z253" s="17" t="n"/>
      <c r="AA253" s="17" t="n"/>
    </row>
    <row r="254">
      <c r="A254" s="17" t="n"/>
      <c r="B254" s="17" t="n"/>
      <c r="C254" s="18" t="n"/>
      <c r="D254" s="19" t="n"/>
      <c r="E254" s="17" t="n"/>
      <c r="F254" s="17" t="n"/>
      <c r="G254" s="17" t="n"/>
      <c r="H254" s="17" t="n"/>
      <c r="I254" s="17" t="n"/>
      <c r="J254" s="17" t="n"/>
      <c r="K254" s="17" t="n"/>
      <c r="L254" s="20" t="n"/>
      <c r="M254" s="18" t="n"/>
      <c r="N254" s="17" t="n"/>
      <c r="O254" s="18" t="n"/>
      <c r="P254" s="17" t="n"/>
      <c r="Q254" s="17" t="n"/>
      <c r="R254" s="17" t="n"/>
      <c r="S254" s="17" t="n"/>
      <c r="T254" s="21">
        <f>IF(S254="","",IFERROR(INDEX(Carreras!$D$2:$D$152,MATCH(S254,Carreras!$A$2:$A$152,0)),"En Umbral"))</f>
        <v/>
      </c>
      <c r="U254" s="18" t="n"/>
      <c r="V254" s="18" t="n"/>
      <c r="W254" s="18" t="n"/>
      <c r="X254" s="17" t="n"/>
      <c r="Y254" s="22" t="n"/>
      <c r="Z254" s="17" t="n"/>
      <c r="AA254" s="17" t="n"/>
    </row>
    <row r="255">
      <c r="A255" s="17" t="n"/>
      <c r="B255" s="17" t="n"/>
      <c r="C255" s="18" t="n"/>
      <c r="D255" s="19" t="n"/>
      <c r="E255" s="17" t="n"/>
      <c r="F255" s="17" t="n"/>
      <c r="G255" s="17" t="n"/>
      <c r="H255" s="17" t="n"/>
      <c r="I255" s="17" t="n"/>
      <c r="J255" s="17" t="n"/>
      <c r="K255" s="17" t="n"/>
      <c r="L255" s="20" t="n"/>
      <c r="M255" s="18" t="n"/>
      <c r="N255" s="17" t="n"/>
      <c r="O255" s="18" t="n"/>
      <c r="P255" s="17" t="n"/>
      <c r="Q255" s="17" t="n"/>
      <c r="R255" s="17" t="n"/>
      <c r="S255" s="17" t="n"/>
      <c r="T255" s="21">
        <f>IF(S255="","",IFERROR(INDEX(Carreras!$D$2:$D$152,MATCH(S255,Carreras!$A$2:$A$152,0)),"En Umbral"))</f>
        <v/>
      </c>
      <c r="U255" s="18" t="n"/>
      <c r="V255" s="18" t="n"/>
      <c r="W255" s="18" t="n"/>
      <c r="X255" s="17" t="n"/>
      <c r="Y255" s="22" t="n"/>
      <c r="Z255" s="17" t="n"/>
      <c r="AA255" s="17" t="n"/>
    </row>
    <row r="256">
      <c r="A256" s="17" t="n"/>
      <c r="B256" s="17" t="n"/>
      <c r="C256" s="18" t="n"/>
      <c r="D256" s="19" t="n"/>
      <c r="E256" s="17" t="n"/>
      <c r="F256" s="17" t="n"/>
      <c r="G256" s="17" t="n"/>
      <c r="H256" s="17" t="n"/>
      <c r="I256" s="17" t="n"/>
      <c r="J256" s="17" t="n"/>
      <c r="K256" s="17" t="n"/>
      <c r="L256" s="20" t="n"/>
      <c r="M256" s="18" t="n"/>
      <c r="N256" s="17" t="n"/>
      <c r="O256" s="18" t="n"/>
      <c r="P256" s="17" t="n"/>
      <c r="Q256" s="17" t="n"/>
      <c r="R256" s="17" t="n"/>
      <c r="S256" s="17" t="n"/>
      <c r="T256" s="21">
        <f>IF(S256="","",IFERROR(INDEX(Carreras!$D$2:$D$152,MATCH(S256,Carreras!$A$2:$A$152,0)),"En Umbral"))</f>
        <v/>
      </c>
      <c r="U256" s="18" t="n"/>
      <c r="V256" s="18" t="n"/>
      <c r="W256" s="18" t="n"/>
      <c r="X256" s="17" t="n"/>
      <c r="Y256" s="22" t="n"/>
      <c r="Z256" s="17" t="n"/>
      <c r="AA256" s="17" t="n"/>
    </row>
    <row r="257">
      <c r="A257" s="17" t="n"/>
      <c r="B257" s="17" t="n"/>
      <c r="C257" s="18" t="n"/>
      <c r="D257" s="19" t="n"/>
      <c r="E257" s="17" t="n"/>
      <c r="F257" s="17" t="n"/>
      <c r="G257" s="17" t="n"/>
      <c r="H257" s="17" t="n"/>
      <c r="I257" s="17" t="n"/>
      <c r="J257" s="17" t="n"/>
      <c r="K257" s="17" t="n"/>
      <c r="L257" s="20" t="n"/>
      <c r="M257" s="18" t="n"/>
      <c r="N257" s="17" t="n"/>
      <c r="O257" s="18" t="n"/>
      <c r="P257" s="17" t="n"/>
      <c r="Q257" s="17" t="n"/>
      <c r="R257" s="17" t="n"/>
      <c r="S257" s="17" t="n"/>
      <c r="T257" s="21">
        <f>IF(S257="","",IFERROR(INDEX(Carreras!$D$2:$D$152,MATCH(S257,Carreras!$A$2:$A$152,0)),"En Umbral"))</f>
        <v/>
      </c>
      <c r="U257" s="18" t="n"/>
      <c r="V257" s="18" t="n"/>
      <c r="W257" s="18" t="n"/>
      <c r="X257" s="17" t="n"/>
      <c r="Y257" s="22" t="n"/>
      <c r="Z257" s="17" t="n"/>
      <c r="AA257" s="17" t="n"/>
    </row>
    <row r="258">
      <c r="A258" s="17" t="n"/>
      <c r="B258" s="17" t="n"/>
      <c r="C258" s="18" t="n"/>
      <c r="D258" s="19" t="n"/>
      <c r="E258" s="17" t="n"/>
      <c r="F258" s="17" t="n"/>
      <c r="G258" s="17" t="n"/>
      <c r="H258" s="17" t="n"/>
      <c r="I258" s="17" t="n"/>
      <c r="J258" s="17" t="n"/>
      <c r="K258" s="17" t="n"/>
      <c r="L258" s="20" t="n"/>
      <c r="M258" s="18" t="n"/>
      <c r="N258" s="17" t="n"/>
      <c r="O258" s="18" t="n"/>
      <c r="P258" s="17" t="n"/>
      <c r="Q258" s="17" t="n"/>
      <c r="R258" s="17" t="n"/>
      <c r="S258" s="17" t="n"/>
      <c r="T258" s="21">
        <f>IF(S258="","",IFERROR(INDEX(Carreras!$D$2:$D$152,MATCH(S258,Carreras!$A$2:$A$152,0)),"En Umbral"))</f>
        <v/>
      </c>
      <c r="U258" s="18" t="n"/>
      <c r="V258" s="18" t="n"/>
      <c r="W258" s="18" t="n"/>
      <c r="X258" s="17" t="n"/>
      <c r="Y258" s="22" t="n"/>
      <c r="Z258" s="17" t="n"/>
      <c r="AA258" s="17" t="n"/>
    </row>
    <row r="259">
      <c r="A259" s="17" t="n"/>
      <c r="B259" s="17" t="n"/>
      <c r="C259" s="18" t="n"/>
      <c r="D259" s="19" t="n"/>
      <c r="E259" s="17" t="n"/>
      <c r="F259" s="17" t="n"/>
      <c r="G259" s="17" t="n"/>
      <c r="H259" s="17" t="n"/>
      <c r="I259" s="17" t="n"/>
      <c r="J259" s="17" t="n"/>
      <c r="K259" s="17" t="n"/>
      <c r="L259" s="20" t="n"/>
      <c r="M259" s="18" t="n"/>
      <c r="N259" s="17" t="n"/>
      <c r="O259" s="18" t="n"/>
      <c r="P259" s="17" t="n"/>
      <c r="Q259" s="17" t="n"/>
      <c r="R259" s="17" t="n"/>
      <c r="S259" s="17" t="n"/>
      <c r="T259" s="21">
        <f>IF(S259="","",IFERROR(INDEX(Carreras!$D$2:$D$152,MATCH(S259,Carreras!$A$2:$A$152,0)),"En Umbral"))</f>
        <v/>
      </c>
      <c r="U259" s="18" t="n"/>
      <c r="V259" s="18" t="n"/>
      <c r="W259" s="18" t="n"/>
      <c r="X259" s="17" t="n"/>
      <c r="Y259" s="22" t="n"/>
      <c r="Z259" s="17" t="n"/>
      <c r="AA259" s="17" t="n"/>
    </row>
    <row r="260">
      <c r="A260" s="17" t="n"/>
      <c r="B260" s="17" t="n"/>
      <c r="C260" s="18" t="n"/>
      <c r="D260" s="19" t="n"/>
      <c r="E260" s="17" t="n"/>
      <c r="F260" s="17" t="n"/>
      <c r="G260" s="17" t="n"/>
      <c r="H260" s="17" t="n"/>
      <c r="I260" s="17" t="n"/>
      <c r="J260" s="17" t="n"/>
      <c r="K260" s="17" t="n"/>
      <c r="L260" s="20" t="n"/>
      <c r="M260" s="18" t="n"/>
      <c r="N260" s="17" t="n"/>
      <c r="O260" s="18" t="n"/>
      <c r="P260" s="17" t="n"/>
      <c r="Q260" s="17" t="n"/>
      <c r="R260" s="17" t="n"/>
      <c r="S260" s="17" t="n"/>
      <c r="T260" s="21">
        <f>IF(S260="","",IFERROR(INDEX(Carreras!$D$2:$D$152,MATCH(S260,Carreras!$A$2:$A$152,0)),"En Umbral"))</f>
        <v/>
      </c>
      <c r="U260" s="18" t="n"/>
      <c r="V260" s="18" t="n"/>
      <c r="W260" s="18" t="n"/>
      <c r="X260" s="17" t="n"/>
      <c r="Y260" s="22" t="n"/>
      <c r="Z260" s="17" t="n"/>
      <c r="AA260" s="17" t="n"/>
    </row>
    <row r="261">
      <c r="A261" s="17" t="n"/>
      <c r="B261" s="17" t="n"/>
      <c r="C261" s="18" t="n"/>
      <c r="D261" s="19" t="n"/>
      <c r="E261" s="17" t="n"/>
      <c r="F261" s="17" t="n"/>
      <c r="G261" s="17" t="n"/>
      <c r="H261" s="17" t="n"/>
      <c r="I261" s="17" t="n"/>
      <c r="J261" s="17" t="n"/>
      <c r="K261" s="17" t="n"/>
      <c r="L261" s="20" t="n"/>
      <c r="M261" s="18" t="n"/>
      <c r="N261" s="17" t="n"/>
      <c r="O261" s="18" t="n"/>
      <c r="P261" s="17" t="n"/>
      <c r="Q261" s="17" t="n"/>
      <c r="R261" s="17" t="n"/>
      <c r="S261" s="17" t="n"/>
      <c r="T261" s="21">
        <f>IF(S261="","",IFERROR(INDEX(Carreras!$D$2:$D$152,MATCH(S261,Carreras!$A$2:$A$152,0)),"En Umbral"))</f>
        <v/>
      </c>
      <c r="U261" s="18" t="n"/>
      <c r="V261" s="18" t="n"/>
      <c r="W261" s="18" t="n"/>
      <c r="X261" s="17" t="n"/>
      <c r="Y261" s="22" t="n"/>
      <c r="Z261" s="17" t="n"/>
      <c r="AA261" s="17" t="n"/>
    </row>
    <row r="262">
      <c r="A262" s="17" t="n"/>
      <c r="B262" s="17" t="n"/>
      <c r="C262" s="18" t="n"/>
      <c r="D262" s="19" t="n"/>
      <c r="E262" s="17" t="n"/>
      <c r="F262" s="17" t="n"/>
      <c r="G262" s="17" t="n"/>
      <c r="H262" s="17" t="n"/>
      <c r="I262" s="17" t="n"/>
      <c r="J262" s="17" t="n"/>
      <c r="K262" s="17" t="n"/>
      <c r="L262" s="20" t="n"/>
      <c r="M262" s="18" t="n"/>
      <c r="N262" s="17" t="n"/>
      <c r="O262" s="18" t="n"/>
      <c r="P262" s="17" t="n"/>
      <c r="Q262" s="17" t="n"/>
      <c r="R262" s="17" t="n"/>
      <c r="S262" s="17" t="n"/>
      <c r="T262" s="21">
        <f>IF(S262="","",IFERROR(INDEX(Carreras!$D$2:$D$152,MATCH(S262,Carreras!$A$2:$A$152,0)),"En Umbral"))</f>
        <v/>
      </c>
      <c r="U262" s="18" t="n"/>
      <c r="V262" s="18" t="n"/>
      <c r="W262" s="18" t="n"/>
      <c r="X262" s="17" t="n"/>
      <c r="Y262" s="22" t="n"/>
      <c r="Z262" s="17" t="n"/>
      <c r="AA262" s="17" t="n"/>
    </row>
    <row r="263">
      <c r="A263" s="17" t="n"/>
      <c r="B263" s="17" t="n"/>
      <c r="C263" s="18" t="n"/>
      <c r="D263" s="19" t="n"/>
      <c r="E263" s="17" t="n"/>
      <c r="F263" s="17" t="n"/>
      <c r="G263" s="17" t="n"/>
      <c r="H263" s="17" t="n"/>
      <c r="I263" s="17" t="n"/>
      <c r="J263" s="17" t="n"/>
      <c r="K263" s="17" t="n"/>
      <c r="L263" s="20" t="n"/>
      <c r="M263" s="18" t="n"/>
      <c r="N263" s="17" t="n"/>
      <c r="O263" s="18" t="n"/>
      <c r="P263" s="17" t="n"/>
      <c r="Q263" s="17" t="n"/>
      <c r="R263" s="17" t="n"/>
      <c r="S263" s="17" t="n"/>
      <c r="T263" s="21">
        <f>IF(S263="","",IFERROR(INDEX(Carreras!$D$2:$D$152,MATCH(S263,Carreras!$A$2:$A$152,0)),"En Umbral"))</f>
        <v/>
      </c>
      <c r="U263" s="18" t="n"/>
      <c r="V263" s="18" t="n"/>
      <c r="W263" s="18" t="n"/>
      <c r="X263" s="17" t="n"/>
      <c r="Y263" s="22" t="n"/>
      <c r="Z263" s="17" t="n"/>
      <c r="AA263" s="17" t="n"/>
    </row>
    <row r="264">
      <c r="A264" s="17" t="n"/>
      <c r="B264" s="17" t="n"/>
      <c r="C264" s="18" t="n"/>
      <c r="D264" s="19" t="n"/>
      <c r="E264" s="17" t="n"/>
      <c r="F264" s="17" t="n"/>
      <c r="G264" s="17" t="n"/>
      <c r="H264" s="17" t="n"/>
      <c r="I264" s="17" t="n"/>
      <c r="J264" s="17" t="n"/>
      <c r="K264" s="17" t="n"/>
      <c r="L264" s="20" t="n"/>
      <c r="M264" s="18" t="n"/>
      <c r="N264" s="17" t="n"/>
      <c r="O264" s="18" t="n"/>
      <c r="P264" s="17" t="n"/>
      <c r="Q264" s="17" t="n"/>
      <c r="R264" s="17" t="n"/>
      <c r="S264" s="17" t="n"/>
      <c r="T264" s="21">
        <f>IF(S264="","",IFERROR(INDEX(Carreras!$D$2:$D$152,MATCH(S264,Carreras!$A$2:$A$152,0)),"En Umbral"))</f>
        <v/>
      </c>
      <c r="U264" s="18" t="n"/>
      <c r="V264" s="18" t="n"/>
      <c r="W264" s="18" t="n"/>
      <c r="X264" s="17" t="n"/>
      <c r="Y264" s="22" t="n"/>
      <c r="Z264" s="17" t="n"/>
      <c r="AA264" s="17" t="n"/>
    </row>
    <row r="265">
      <c r="A265" s="17" t="n"/>
      <c r="B265" s="17" t="n"/>
      <c r="C265" s="18" t="n"/>
      <c r="D265" s="19" t="n"/>
      <c r="E265" s="17" t="n"/>
      <c r="F265" s="17" t="n"/>
      <c r="G265" s="17" t="n"/>
      <c r="H265" s="17" t="n"/>
      <c r="I265" s="17" t="n"/>
      <c r="J265" s="17" t="n"/>
      <c r="K265" s="17" t="n"/>
      <c r="L265" s="20" t="n"/>
      <c r="M265" s="18" t="n"/>
      <c r="N265" s="17" t="n"/>
      <c r="O265" s="18" t="n"/>
      <c r="P265" s="17" t="n"/>
      <c r="Q265" s="17" t="n"/>
      <c r="R265" s="17" t="n"/>
      <c r="S265" s="17" t="n"/>
      <c r="T265" s="21">
        <f>IF(S265="","",IFERROR(INDEX(Carreras!$D$2:$D$152,MATCH(S265,Carreras!$A$2:$A$152,0)),"En Umbral"))</f>
        <v/>
      </c>
      <c r="U265" s="18" t="n"/>
      <c r="V265" s="18" t="n"/>
      <c r="W265" s="18" t="n"/>
      <c r="X265" s="17" t="n"/>
      <c r="Y265" s="22" t="n"/>
      <c r="Z265" s="17" t="n"/>
      <c r="AA265" s="17" t="n"/>
    </row>
    <row r="266">
      <c r="A266" s="17" t="n"/>
      <c r="B266" s="17" t="n"/>
      <c r="C266" s="18" t="n"/>
      <c r="D266" s="19" t="n"/>
      <c r="E266" s="17" t="n"/>
      <c r="F266" s="17" t="n"/>
      <c r="G266" s="17" t="n"/>
      <c r="H266" s="17" t="n"/>
      <c r="I266" s="17" t="n"/>
      <c r="J266" s="17" t="n"/>
      <c r="K266" s="17" t="n"/>
      <c r="L266" s="20" t="n"/>
      <c r="M266" s="18" t="n"/>
      <c r="N266" s="17" t="n"/>
      <c r="O266" s="18" t="n"/>
      <c r="P266" s="17" t="n"/>
      <c r="Q266" s="17" t="n"/>
      <c r="R266" s="17" t="n"/>
      <c r="S266" s="17" t="n"/>
      <c r="T266" s="21">
        <f>IF(S266="","",IFERROR(INDEX(Carreras!$D$2:$D$152,MATCH(S266,Carreras!$A$2:$A$152,0)),"En Umbral"))</f>
        <v/>
      </c>
      <c r="U266" s="18" t="n"/>
      <c r="V266" s="18" t="n"/>
      <c r="W266" s="18" t="n"/>
      <c r="X266" s="17" t="n"/>
      <c r="Y266" s="22" t="n"/>
      <c r="Z266" s="17" t="n"/>
      <c r="AA266" s="17" t="n"/>
    </row>
    <row r="267">
      <c r="A267" s="17" t="n"/>
      <c r="B267" s="17" t="n"/>
      <c r="C267" s="18" t="n"/>
      <c r="D267" s="19" t="n"/>
      <c r="E267" s="17" t="n"/>
      <c r="F267" s="17" t="n"/>
      <c r="G267" s="17" t="n"/>
      <c r="H267" s="17" t="n"/>
      <c r="I267" s="17" t="n"/>
      <c r="J267" s="17" t="n"/>
      <c r="K267" s="17" t="n"/>
      <c r="L267" s="20" t="n"/>
      <c r="M267" s="18" t="n"/>
      <c r="N267" s="17" t="n"/>
      <c r="O267" s="18" t="n"/>
      <c r="P267" s="17" t="n"/>
      <c r="Q267" s="17" t="n"/>
      <c r="R267" s="17" t="n"/>
      <c r="S267" s="17" t="n"/>
      <c r="T267" s="21">
        <f>IF(S267="","",IFERROR(INDEX(Carreras!$D$2:$D$152,MATCH(S267,Carreras!$A$2:$A$152,0)),"En Umbral"))</f>
        <v/>
      </c>
      <c r="U267" s="18" t="n"/>
      <c r="V267" s="18" t="n"/>
      <c r="W267" s="18" t="n"/>
      <c r="X267" s="17" t="n"/>
      <c r="Y267" s="22" t="n"/>
      <c r="Z267" s="17" t="n"/>
      <c r="AA267" s="17" t="n"/>
    </row>
    <row r="268">
      <c r="A268" s="17" t="n"/>
      <c r="B268" s="17" t="n"/>
      <c r="C268" s="18" t="n"/>
      <c r="D268" s="19" t="n"/>
      <c r="E268" s="17" t="n"/>
      <c r="F268" s="17" t="n"/>
      <c r="G268" s="17" t="n"/>
      <c r="H268" s="17" t="n"/>
      <c r="I268" s="17" t="n"/>
      <c r="J268" s="17" t="n"/>
      <c r="K268" s="17" t="n"/>
      <c r="L268" s="20" t="n"/>
      <c r="M268" s="18" t="n"/>
      <c r="N268" s="17" t="n"/>
      <c r="O268" s="18" t="n"/>
      <c r="P268" s="17" t="n"/>
      <c r="Q268" s="17" t="n"/>
      <c r="R268" s="17" t="n"/>
      <c r="S268" s="17" t="n"/>
      <c r="T268" s="21">
        <f>IF(S268="","",IFERROR(INDEX(Carreras!$D$2:$D$152,MATCH(S268,Carreras!$A$2:$A$152,0)),"En Umbral"))</f>
        <v/>
      </c>
      <c r="U268" s="18" t="n"/>
      <c r="V268" s="18" t="n"/>
      <c r="W268" s="18" t="n"/>
      <c r="X268" s="17" t="n"/>
      <c r="Y268" s="22" t="n"/>
      <c r="Z268" s="17" t="n"/>
      <c r="AA268" s="17" t="n"/>
    </row>
    <row r="269">
      <c r="A269" s="17" t="n"/>
      <c r="B269" s="17" t="n"/>
      <c r="C269" s="18" t="n"/>
      <c r="D269" s="19" t="n"/>
      <c r="E269" s="17" t="n"/>
      <c r="F269" s="17" t="n"/>
      <c r="G269" s="17" t="n"/>
      <c r="H269" s="17" t="n"/>
      <c r="I269" s="17" t="n"/>
      <c r="J269" s="17" t="n"/>
      <c r="K269" s="17" t="n"/>
      <c r="L269" s="20" t="n"/>
      <c r="M269" s="18" t="n"/>
      <c r="N269" s="17" t="n"/>
      <c r="O269" s="18" t="n"/>
      <c r="P269" s="17" t="n"/>
      <c r="Q269" s="17" t="n"/>
      <c r="R269" s="17" t="n"/>
      <c r="S269" s="17" t="n"/>
      <c r="T269" s="21">
        <f>IF(S269="","",IFERROR(INDEX(Carreras!$D$2:$D$152,MATCH(S269,Carreras!$A$2:$A$152,0)),"En Umbral"))</f>
        <v/>
      </c>
      <c r="U269" s="18" t="n"/>
      <c r="V269" s="18" t="n"/>
      <c r="W269" s="18" t="n"/>
      <c r="X269" s="17" t="n"/>
      <c r="Y269" s="22" t="n"/>
      <c r="Z269" s="17" t="n"/>
      <c r="AA269" s="17" t="n"/>
    </row>
    <row r="270">
      <c r="A270" s="17" t="n"/>
      <c r="B270" s="17" t="n"/>
      <c r="C270" s="18" t="n"/>
      <c r="D270" s="19" t="n"/>
      <c r="E270" s="17" t="n"/>
      <c r="F270" s="17" t="n"/>
      <c r="G270" s="17" t="n"/>
      <c r="H270" s="17" t="n"/>
      <c r="I270" s="17" t="n"/>
      <c r="J270" s="17" t="n"/>
      <c r="K270" s="17" t="n"/>
      <c r="L270" s="20" t="n"/>
      <c r="M270" s="18" t="n"/>
      <c r="N270" s="17" t="n"/>
      <c r="O270" s="18" t="n"/>
      <c r="P270" s="17" t="n"/>
      <c r="Q270" s="17" t="n"/>
      <c r="R270" s="17" t="n"/>
      <c r="S270" s="17" t="n"/>
      <c r="T270" s="21">
        <f>IF(S270="","",IFERROR(INDEX(Carreras!$D$2:$D$152,MATCH(S270,Carreras!$A$2:$A$152,0)),"En Umbral"))</f>
        <v/>
      </c>
      <c r="U270" s="18" t="n"/>
      <c r="V270" s="18" t="n"/>
      <c r="W270" s="18" t="n"/>
      <c r="X270" s="17" t="n"/>
      <c r="Y270" s="22" t="n"/>
      <c r="Z270" s="17" t="n"/>
      <c r="AA270" s="17" t="n"/>
    </row>
    <row r="271">
      <c r="A271" s="17" t="n"/>
      <c r="B271" s="17" t="n"/>
      <c r="C271" s="18" t="n"/>
      <c r="D271" s="19" t="n"/>
      <c r="E271" s="17" t="n"/>
      <c r="F271" s="17" t="n"/>
      <c r="G271" s="17" t="n"/>
      <c r="H271" s="17" t="n"/>
      <c r="I271" s="17" t="n"/>
      <c r="J271" s="17" t="n"/>
      <c r="K271" s="17" t="n"/>
      <c r="L271" s="20" t="n"/>
      <c r="M271" s="18" t="n"/>
      <c r="N271" s="17" t="n"/>
      <c r="O271" s="18" t="n"/>
      <c r="P271" s="17" t="n"/>
      <c r="Q271" s="17" t="n"/>
      <c r="R271" s="17" t="n"/>
      <c r="S271" s="17" t="n"/>
      <c r="T271" s="21">
        <f>IF(S271="","",IFERROR(INDEX(Carreras!$D$2:$D$152,MATCH(S271,Carreras!$A$2:$A$152,0)),"En Umbral"))</f>
        <v/>
      </c>
      <c r="U271" s="18" t="n"/>
      <c r="V271" s="18" t="n"/>
      <c r="W271" s="18" t="n"/>
      <c r="X271" s="17" t="n"/>
      <c r="Y271" s="22" t="n"/>
      <c r="Z271" s="17" t="n"/>
      <c r="AA271" s="17" t="n"/>
    </row>
    <row r="272">
      <c r="A272" s="17" t="n"/>
      <c r="B272" s="17" t="n"/>
      <c r="C272" s="18" t="n"/>
      <c r="D272" s="19" t="n"/>
      <c r="E272" s="17" t="n"/>
      <c r="F272" s="17" t="n"/>
      <c r="G272" s="17" t="n"/>
      <c r="H272" s="17" t="n"/>
      <c r="I272" s="17" t="n"/>
      <c r="J272" s="17" t="n"/>
      <c r="K272" s="17" t="n"/>
      <c r="L272" s="20" t="n"/>
      <c r="M272" s="18" t="n"/>
      <c r="N272" s="17" t="n"/>
      <c r="O272" s="18" t="n"/>
      <c r="P272" s="17" t="n"/>
      <c r="Q272" s="17" t="n"/>
      <c r="R272" s="17" t="n"/>
      <c r="S272" s="17" t="n"/>
      <c r="T272" s="21">
        <f>IF(S272="","",IFERROR(INDEX(Carreras!$D$2:$D$152,MATCH(S272,Carreras!$A$2:$A$152,0)),"En Umbral"))</f>
        <v/>
      </c>
      <c r="U272" s="18" t="n"/>
      <c r="V272" s="18" t="n"/>
      <c r="W272" s="18" t="n"/>
      <c r="X272" s="17" t="n"/>
      <c r="Y272" s="22" t="n"/>
      <c r="Z272" s="17" t="n"/>
      <c r="AA272" s="17" t="n"/>
    </row>
    <row r="273">
      <c r="A273" s="17" t="n"/>
      <c r="B273" s="17" t="n"/>
      <c r="C273" s="18" t="n"/>
      <c r="D273" s="19" t="n"/>
      <c r="E273" s="17" t="n"/>
      <c r="F273" s="17" t="n"/>
      <c r="G273" s="17" t="n"/>
      <c r="H273" s="17" t="n"/>
      <c r="I273" s="17" t="n"/>
      <c r="J273" s="17" t="n"/>
      <c r="K273" s="17" t="n"/>
      <c r="L273" s="20" t="n"/>
      <c r="M273" s="18" t="n"/>
      <c r="N273" s="17" t="n"/>
      <c r="O273" s="18" t="n"/>
      <c r="P273" s="17" t="n"/>
      <c r="Q273" s="17" t="n"/>
      <c r="R273" s="17" t="n"/>
      <c r="S273" s="17" t="n"/>
      <c r="T273" s="21">
        <f>IF(S273="","",IFERROR(INDEX(Carreras!$D$2:$D$152,MATCH(S273,Carreras!$A$2:$A$152,0)),"En Umbral"))</f>
        <v/>
      </c>
      <c r="U273" s="18" t="n"/>
      <c r="V273" s="18" t="n"/>
      <c r="W273" s="18" t="n"/>
      <c r="X273" s="17" t="n"/>
      <c r="Y273" s="22" t="n"/>
      <c r="Z273" s="17" t="n"/>
      <c r="AA273" s="17" t="n"/>
    </row>
    <row r="274">
      <c r="A274" s="17" t="n"/>
      <c r="B274" s="17" t="n"/>
      <c r="C274" s="18" t="n"/>
      <c r="D274" s="19" t="n"/>
      <c r="E274" s="17" t="n"/>
      <c r="F274" s="17" t="n"/>
      <c r="G274" s="17" t="n"/>
      <c r="H274" s="17" t="n"/>
      <c r="I274" s="17" t="n"/>
      <c r="J274" s="17" t="n"/>
      <c r="K274" s="17" t="n"/>
      <c r="L274" s="20" t="n"/>
      <c r="M274" s="18" t="n"/>
      <c r="N274" s="17" t="n"/>
      <c r="O274" s="18" t="n"/>
      <c r="P274" s="17" t="n"/>
      <c r="Q274" s="17" t="n"/>
      <c r="R274" s="17" t="n"/>
      <c r="S274" s="17" t="n"/>
      <c r="T274" s="21">
        <f>IF(S274="","",IFERROR(INDEX(Carreras!$D$2:$D$152,MATCH(S274,Carreras!$A$2:$A$152,0)),"En Umbral"))</f>
        <v/>
      </c>
      <c r="U274" s="18" t="n"/>
      <c r="V274" s="18" t="n"/>
      <c r="W274" s="18" t="n"/>
      <c r="X274" s="17" t="n"/>
      <c r="Y274" s="22" t="n"/>
      <c r="Z274" s="17" t="n"/>
      <c r="AA274" s="17" t="n"/>
    </row>
    <row r="275">
      <c r="A275" s="17" t="n"/>
      <c r="B275" s="17" t="n"/>
      <c r="C275" s="18" t="n"/>
      <c r="D275" s="19" t="n"/>
      <c r="E275" s="17" t="n"/>
      <c r="F275" s="17" t="n"/>
      <c r="G275" s="17" t="n"/>
      <c r="H275" s="17" t="n"/>
      <c r="I275" s="17" t="n"/>
      <c r="J275" s="17" t="n"/>
      <c r="K275" s="17" t="n"/>
      <c r="L275" s="20" t="n"/>
      <c r="M275" s="18" t="n"/>
      <c r="N275" s="17" t="n"/>
      <c r="O275" s="18" t="n"/>
      <c r="P275" s="17" t="n"/>
      <c r="Q275" s="17" t="n"/>
      <c r="R275" s="17" t="n"/>
      <c r="S275" s="17" t="n"/>
      <c r="T275" s="21">
        <f>IF(S275="","",IFERROR(INDEX(Carreras!$D$2:$D$152,MATCH(S275,Carreras!$A$2:$A$152,0)),"En Umbral"))</f>
        <v/>
      </c>
      <c r="U275" s="18" t="n"/>
      <c r="V275" s="18" t="n"/>
      <c r="W275" s="18" t="n"/>
      <c r="X275" s="17" t="n"/>
      <c r="Y275" s="22" t="n"/>
      <c r="Z275" s="17" t="n"/>
      <c r="AA275" s="17" t="n"/>
    </row>
    <row r="276">
      <c r="A276" s="17" t="n"/>
      <c r="B276" s="17" t="n"/>
      <c r="C276" s="18" t="n"/>
      <c r="D276" s="19" t="n"/>
      <c r="E276" s="17" t="n"/>
      <c r="F276" s="17" t="n"/>
      <c r="G276" s="17" t="n"/>
      <c r="H276" s="17" t="n"/>
      <c r="I276" s="17" t="n"/>
      <c r="J276" s="17" t="n"/>
      <c r="K276" s="17" t="n"/>
      <c r="L276" s="20" t="n"/>
      <c r="M276" s="18" t="n"/>
      <c r="N276" s="17" t="n"/>
      <c r="O276" s="18" t="n"/>
      <c r="P276" s="17" t="n"/>
      <c r="Q276" s="17" t="n"/>
      <c r="R276" s="17" t="n"/>
      <c r="S276" s="17" t="n"/>
      <c r="T276" s="21">
        <f>IF(S276="","",IFERROR(INDEX(Carreras!$D$2:$D$152,MATCH(S276,Carreras!$A$2:$A$152,0)),"En Umbral"))</f>
        <v/>
      </c>
      <c r="U276" s="18" t="n"/>
      <c r="V276" s="18" t="n"/>
      <c r="W276" s="18" t="n"/>
      <c r="X276" s="17" t="n"/>
      <c r="Y276" s="22" t="n"/>
      <c r="Z276" s="17" t="n"/>
      <c r="AA276" s="17" t="n"/>
    </row>
    <row r="277">
      <c r="A277" s="17" t="n"/>
      <c r="B277" s="17" t="n"/>
      <c r="C277" s="18" t="n"/>
      <c r="D277" s="19" t="n"/>
      <c r="E277" s="17" t="n"/>
      <c r="F277" s="17" t="n"/>
      <c r="G277" s="17" t="n"/>
      <c r="H277" s="17" t="n"/>
      <c r="I277" s="17" t="n"/>
      <c r="J277" s="17" t="n"/>
      <c r="K277" s="17" t="n"/>
      <c r="L277" s="20" t="n"/>
      <c r="M277" s="18" t="n"/>
      <c r="N277" s="17" t="n"/>
      <c r="O277" s="18" t="n"/>
      <c r="P277" s="17" t="n"/>
      <c r="Q277" s="17" t="n"/>
      <c r="R277" s="17" t="n"/>
      <c r="S277" s="17" t="n"/>
      <c r="T277" s="21">
        <f>IF(S277="","",IFERROR(INDEX(Carreras!$D$2:$D$152,MATCH(S277,Carreras!$A$2:$A$152,0)),"En Umbral"))</f>
        <v/>
      </c>
      <c r="U277" s="18" t="n"/>
      <c r="V277" s="18" t="n"/>
      <c r="W277" s="18" t="n"/>
      <c r="X277" s="17" t="n"/>
      <c r="Y277" s="22" t="n"/>
      <c r="Z277" s="17" t="n"/>
      <c r="AA277" s="17" t="n"/>
    </row>
    <row r="278">
      <c r="A278" s="17" t="n"/>
      <c r="B278" s="17" t="n"/>
      <c r="C278" s="18" t="n"/>
      <c r="D278" s="19" t="n"/>
      <c r="E278" s="17" t="n"/>
      <c r="F278" s="17" t="n"/>
      <c r="G278" s="17" t="n"/>
      <c r="H278" s="17" t="n"/>
      <c r="I278" s="17" t="n"/>
      <c r="J278" s="17" t="n"/>
      <c r="K278" s="17" t="n"/>
      <c r="L278" s="20" t="n"/>
      <c r="M278" s="18" t="n"/>
      <c r="N278" s="17" t="n"/>
      <c r="O278" s="18" t="n"/>
      <c r="P278" s="17" t="n"/>
      <c r="Q278" s="17" t="n"/>
      <c r="R278" s="17" t="n"/>
      <c r="S278" s="17" t="n"/>
      <c r="T278" s="21">
        <f>IF(S278="","",IFERROR(INDEX(Carreras!$D$2:$D$152,MATCH(S278,Carreras!$A$2:$A$152,0)),"En Umbral"))</f>
        <v/>
      </c>
      <c r="U278" s="18" t="n"/>
      <c r="V278" s="18" t="n"/>
      <c r="W278" s="18" t="n"/>
      <c r="X278" s="17" t="n"/>
      <c r="Y278" s="22" t="n"/>
      <c r="Z278" s="17" t="n"/>
      <c r="AA278" s="17" t="n"/>
    </row>
    <row r="279">
      <c r="A279" s="17" t="n"/>
      <c r="B279" s="17" t="n"/>
      <c r="C279" s="18" t="n"/>
      <c r="D279" s="19" t="n"/>
      <c r="E279" s="17" t="n"/>
      <c r="F279" s="17" t="n"/>
      <c r="G279" s="17" t="n"/>
      <c r="H279" s="17" t="n"/>
      <c r="I279" s="17" t="n"/>
      <c r="J279" s="17" t="n"/>
      <c r="K279" s="17" t="n"/>
      <c r="L279" s="20" t="n"/>
      <c r="M279" s="18" t="n"/>
      <c r="N279" s="17" t="n"/>
      <c r="O279" s="18" t="n"/>
      <c r="P279" s="17" t="n"/>
      <c r="Q279" s="17" t="n"/>
      <c r="R279" s="17" t="n"/>
      <c r="S279" s="17" t="n"/>
      <c r="T279" s="21">
        <f>IF(S279="","",IFERROR(INDEX(Carreras!$D$2:$D$152,MATCH(S279,Carreras!$A$2:$A$152,0)),"En Umbral"))</f>
        <v/>
      </c>
      <c r="U279" s="18" t="n"/>
      <c r="V279" s="18" t="n"/>
      <c r="W279" s="18" t="n"/>
      <c r="X279" s="17" t="n"/>
      <c r="Y279" s="22" t="n"/>
      <c r="Z279" s="17" t="n"/>
      <c r="AA279" s="17" t="n"/>
    </row>
    <row r="280">
      <c r="A280" s="17" t="n"/>
      <c r="B280" s="17" t="n"/>
      <c r="C280" s="18" t="n"/>
      <c r="D280" s="19" t="n"/>
      <c r="E280" s="17" t="n"/>
      <c r="F280" s="17" t="n"/>
      <c r="G280" s="17" t="n"/>
      <c r="H280" s="17" t="n"/>
      <c r="I280" s="17" t="n"/>
      <c r="J280" s="17" t="n"/>
      <c r="K280" s="17" t="n"/>
      <c r="L280" s="20" t="n"/>
      <c r="M280" s="18" t="n"/>
      <c r="N280" s="17" t="n"/>
      <c r="O280" s="18" t="n"/>
      <c r="P280" s="17" t="n"/>
      <c r="Q280" s="17" t="n"/>
      <c r="R280" s="17" t="n"/>
      <c r="S280" s="17" t="n"/>
      <c r="T280" s="21">
        <f>IF(S280="","",IFERROR(INDEX(Carreras!$D$2:$D$152,MATCH(S280,Carreras!$A$2:$A$152,0)),"En Umbral"))</f>
        <v/>
      </c>
      <c r="U280" s="18" t="n"/>
      <c r="V280" s="18" t="n"/>
      <c r="W280" s="18" t="n"/>
      <c r="X280" s="17" t="n"/>
      <c r="Y280" s="22" t="n"/>
      <c r="Z280" s="17" t="n"/>
      <c r="AA280" s="17" t="n"/>
    </row>
    <row r="281">
      <c r="A281" s="17" t="n"/>
      <c r="B281" s="17" t="n"/>
      <c r="C281" s="18" t="n"/>
      <c r="D281" s="19" t="n"/>
      <c r="E281" s="17" t="n"/>
      <c r="F281" s="17" t="n"/>
      <c r="G281" s="17" t="n"/>
      <c r="H281" s="17" t="n"/>
      <c r="I281" s="17" t="n"/>
      <c r="J281" s="17" t="n"/>
      <c r="K281" s="17" t="n"/>
      <c r="L281" s="20" t="n"/>
      <c r="M281" s="18" t="n"/>
      <c r="N281" s="17" t="n"/>
      <c r="O281" s="18" t="n"/>
      <c r="P281" s="17" t="n"/>
      <c r="Q281" s="17" t="n"/>
      <c r="R281" s="17" t="n"/>
      <c r="S281" s="17" t="n"/>
      <c r="T281" s="21">
        <f>IF(S281="","",IFERROR(INDEX(Carreras!$D$2:$D$152,MATCH(S281,Carreras!$A$2:$A$152,0)),"En Umbral"))</f>
        <v/>
      </c>
      <c r="U281" s="18" t="n"/>
      <c r="V281" s="18" t="n"/>
      <c r="W281" s="18" t="n"/>
      <c r="X281" s="17" t="n"/>
      <c r="Y281" s="22" t="n"/>
      <c r="Z281" s="17" t="n"/>
      <c r="AA281" s="17" t="n"/>
    </row>
    <row r="282">
      <c r="A282" s="17" t="n"/>
      <c r="B282" s="17" t="n"/>
      <c r="C282" s="18" t="n"/>
      <c r="D282" s="19" t="n"/>
      <c r="E282" s="17" t="n"/>
      <c r="F282" s="17" t="n"/>
      <c r="G282" s="17" t="n"/>
      <c r="H282" s="17" t="n"/>
      <c r="I282" s="17" t="n"/>
      <c r="J282" s="17" t="n"/>
      <c r="K282" s="17" t="n"/>
      <c r="L282" s="20" t="n"/>
      <c r="M282" s="18" t="n"/>
      <c r="N282" s="17" t="n"/>
      <c r="O282" s="18" t="n"/>
      <c r="P282" s="17" t="n"/>
      <c r="Q282" s="17" t="n"/>
      <c r="R282" s="17" t="n"/>
      <c r="S282" s="17" t="n"/>
      <c r="T282" s="21">
        <f>IF(S282="","",IFERROR(INDEX(Carreras!$D$2:$D$152,MATCH(S282,Carreras!$A$2:$A$152,0)),"En Umbral"))</f>
        <v/>
      </c>
      <c r="U282" s="18" t="n"/>
      <c r="V282" s="18" t="n"/>
      <c r="W282" s="18" t="n"/>
      <c r="X282" s="17" t="n"/>
      <c r="Y282" s="22" t="n"/>
      <c r="Z282" s="17" t="n"/>
      <c r="AA282" s="17" t="n"/>
    </row>
    <row r="283">
      <c r="A283" s="17" t="n"/>
      <c r="B283" s="17" t="n"/>
      <c r="C283" s="18" t="n"/>
      <c r="D283" s="19" t="n"/>
      <c r="E283" s="17" t="n"/>
      <c r="F283" s="17" t="n"/>
      <c r="G283" s="17" t="n"/>
      <c r="H283" s="17" t="n"/>
      <c r="I283" s="17" t="n"/>
      <c r="J283" s="17" t="n"/>
      <c r="K283" s="17" t="n"/>
      <c r="L283" s="20" t="n"/>
      <c r="M283" s="18" t="n"/>
      <c r="N283" s="17" t="n"/>
      <c r="O283" s="18" t="n"/>
      <c r="P283" s="17" t="n"/>
      <c r="Q283" s="17" t="n"/>
      <c r="R283" s="17" t="n"/>
      <c r="S283" s="17" t="n"/>
      <c r="T283" s="21">
        <f>IF(S283="","",IFERROR(INDEX(Carreras!$D$2:$D$152,MATCH(S283,Carreras!$A$2:$A$152,0)),"En Umbral"))</f>
        <v/>
      </c>
      <c r="U283" s="18" t="n"/>
      <c r="V283" s="18" t="n"/>
      <c r="W283" s="18" t="n"/>
      <c r="X283" s="17" t="n"/>
      <c r="Y283" s="22" t="n"/>
      <c r="Z283" s="17" t="n"/>
      <c r="AA283" s="17" t="n"/>
    </row>
    <row r="284">
      <c r="A284" s="17" t="n"/>
      <c r="B284" s="17" t="n"/>
      <c r="C284" s="18" t="n"/>
      <c r="D284" s="19" t="n"/>
      <c r="E284" s="17" t="n"/>
      <c r="F284" s="17" t="n"/>
      <c r="G284" s="17" t="n"/>
      <c r="H284" s="17" t="n"/>
      <c r="I284" s="17" t="n"/>
      <c r="J284" s="17" t="n"/>
      <c r="K284" s="17" t="n"/>
      <c r="L284" s="20" t="n"/>
      <c r="M284" s="18" t="n"/>
      <c r="N284" s="17" t="n"/>
      <c r="O284" s="18" t="n"/>
      <c r="P284" s="17" t="n"/>
      <c r="Q284" s="17" t="n"/>
      <c r="R284" s="17" t="n"/>
      <c r="S284" s="17" t="n"/>
      <c r="T284" s="21">
        <f>IF(S284="","",IFERROR(INDEX(Carreras!$D$2:$D$152,MATCH(S284,Carreras!$A$2:$A$152,0)),"En Umbral"))</f>
        <v/>
      </c>
      <c r="U284" s="18" t="n"/>
      <c r="V284" s="18" t="n"/>
      <c r="W284" s="18" t="n"/>
      <c r="X284" s="17" t="n"/>
      <c r="Y284" s="22" t="n"/>
      <c r="Z284" s="17" t="n"/>
      <c r="AA284" s="17" t="n"/>
    </row>
    <row r="285">
      <c r="A285" s="17" t="n"/>
      <c r="B285" s="17" t="n"/>
      <c r="C285" s="18" t="n"/>
      <c r="D285" s="19" t="n"/>
      <c r="E285" s="17" t="n"/>
      <c r="F285" s="17" t="n"/>
      <c r="G285" s="17" t="n"/>
      <c r="H285" s="17" t="n"/>
      <c r="I285" s="17" t="n"/>
      <c r="J285" s="17" t="n"/>
      <c r="K285" s="17" t="n"/>
      <c r="L285" s="20" t="n"/>
      <c r="M285" s="18" t="n"/>
      <c r="N285" s="17" t="n"/>
      <c r="O285" s="18" t="n"/>
      <c r="P285" s="17" t="n"/>
      <c r="Q285" s="17" t="n"/>
      <c r="R285" s="17" t="n"/>
      <c r="S285" s="17" t="n"/>
      <c r="T285" s="21">
        <f>IF(S285="","",IFERROR(INDEX(Carreras!$D$2:$D$152,MATCH(S285,Carreras!$A$2:$A$152,0)),"En Umbral"))</f>
        <v/>
      </c>
      <c r="U285" s="18" t="n"/>
      <c r="V285" s="18" t="n"/>
      <c r="W285" s="18" t="n"/>
      <c r="X285" s="17" t="n"/>
      <c r="Y285" s="22" t="n"/>
      <c r="Z285" s="17" t="n"/>
      <c r="AA285" s="17" t="n"/>
    </row>
    <row r="286">
      <c r="A286" s="17" t="n"/>
      <c r="B286" s="17" t="n"/>
      <c r="C286" s="18" t="n"/>
      <c r="D286" s="19" t="n"/>
      <c r="E286" s="17" t="n"/>
      <c r="F286" s="17" t="n"/>
      <c r="G286" s="17" t="n"/>
      <c r="H286" s="17" t="n"/>
      <c r="I286" s="17" t="n"/>
      <c r="J286" s="17" t="n"/>
      <c r="K286" s="17" t="n"/>
      <c r="L286" s="20" t="n"/>
      <c r="M286" s="18" t="n"/>
      <c r="N286" s="17" t="n"/>
      <c r="O286" s="18" t="n"/>
      <c r="P286" s="17" t="n"/>
      <c r="Q286" s="17" t="n"/>
      <c r="R286" s="17" t="n"/>
      <c r="S286" s="17" t="n"/>
      <c r="T286" s="21">
        <f>IF(S286="","",IFERROR(INDEX(Carreras!$D$2:$D$152,MATCH(S286,Carreras!$A$2:$A$152,0)),"En Umbral"))</f>
        <v/>
      </c>
      <c r="U286" s="18" t="n"/>
      <c r="V286" s="18" t="n"/>
      <c r="W286" s="18" t="n"/>
      <c r="X286" s="17" t="n"/>
      <c r="Y286" s="22" t="n"/>
      <c r="Z286" s="17" t="n"/>
      <c r="AA286" s="17" t="n"/>
    </row>
    <row r="287">
      <c r="A287" s="17" t="n"/>
      <c r="B287" s="17" t="n"/>
      <c r="C287" s="18" t="n"/>
      <c r="D287" s="19" t="n"/>
      <c r="E287" s="17" t="n"/>
      <c r="F287" s="17" t="n"/>
      <c r="G287" s="17" t="n"/>
      <c r="H287" s="17" t="n"/>
      <c r="I287" s="17" t="n"/>
      <c r="J287" s="17" t="n"/>
      <c r="K287" s="17" t="n"/>
      <c r="L287" s="20" t="n"/>
      <c r="M287" s="18" t="n"/>
      <c r="N287" s="17" t="n"/>
      <c r="O287" s="18" t="n"/>
      <c r="P287" s="17" t="n"/>
      <c r="Q287" s="17" t="n"/>
      <c r="R287" s="17" t="n"/>
      <c r="S287" s="17" t="n"/>
      <c r="T287" s="21">
        <f>IF(S287="","",IFERROR(INDEX(Carreras!$D$2:$D$152,MATCH(S287,Carreras!$A$2:$A$152,0)),"En Umbral"))</f>
        <v/>
      </c>
      <c r="U287" s="18" t="n"/>
      <c r="V287" s="18" t="n"/>
      <c r="W287" s="18" t="n"/>
      <c r="X287" s="17" t="n"/>
      <c r="Y287" s="22" t="n"/>
      <c r="Z287" s="17" t="n"/>
      <c r="AA287" s="17" t="n"/>
    </row>
    <row r="288">
      <c r="A288" s="17" t="n"/>
      <c r="B288" s="17" t="n"/>
      <c r="C288" s="18" t="n"/>
      <c r="D288" s="19" t="n"/>
      <c r="E288" s="17" t="n"/>
      <c r="F288" s="17" t="n"/>
      <c r="G288" s="17" t="n"/>
      <c r="H288" s="17" t="n"/>
      <c r="I288" s="17" t="n"/>
      <c r="J288" s="17" t="n"/>
      <c r="K288" s="17" t="n"/>
      <c r="L288" s="20" t="n"/>
      <c r="M288" s="18" t="n"/>
      <c r="N288" s="17" t="n"/>
      <c r="O288" s="18" t="n"/>
      <c r="P288" s="17" t="n"/>
      <c r="Q288" s="17" t="n"/>
      <c r="R288" s="17" t="n"/>
      <c r="S288" s="17" t="n"/>
      <c r="T288" s="21">
        <f>IF(S288="","",IFERROR(INDEX(Carreras!$D$2:$D$152,MATCH(S288,Carreras!$A$2:$A$152,0)),"En Umbral"))</f>
        <v/>
      </c>
      <c r="U288" s="18" t="n"/>
      <c r="V288" s="18" t="n"/>
      <c r="W288" s="18" t="n"/>
      <c r="X288" s="17" t="n"/>
      <c r="Y288" s="22" t="n"/>
      <c r="Z288" s="17" t="n"/>
      <c r="AA288" s="17" t="n"/>
    </row>
    <row r="289">
      <c r="A289" s="17" t="n"/>
      <c r="B289" s="17" t="n"/>
      <c r="C289" s="18" t="n"/>
      <c r="D289" s="19" t="n"/>
      <c r="E289" s="17" t="n"/>
      <c r="F289" s="17" t="n"/>
      <c r="G289" s="17" t="n"/>
      <c r="H289" s="17" t="n"/>
      <c r="I289" s="17" t="n"/>
      <c r="J289" s="17" t="n"/>
      <c r="K289" s="17" t="n"/>
      <c r="L289" s="20" t="n"/>
      <c r="M289" s="18" t="n"/>
      <c r="N289" s="17" t="n"/>
      <c r="O289" s="18" t="n"/>
      <c r="P289" s="17" t="n"/>
      <c r="Q289" s="17" t="n"/>
      <c r="R289" s="17" t="n"/>
      <c r="S289" s="17" t="n"/>
      <c r="T289" s="21">
        <f>IF(S289="","",IFERROR(INDEX(Carreras!$D$2:$D$152,MATCH(S289,Carreras!$A$2:$A$152,0)),"En Umbral"))</f>
        <v/>
      </c>
      <c r="U289" s="18" t="n"/>
      <c r="V289" s="18" t="n"/>
      <c r="W289" s="18" t="n"/>
      <c r="X289" s="17" t="n"/>
      <c r="Y289" s="22" t="n"/>
      <c r="Z289" s="17" t="n"/>
      <c r="AA289" s="17" t="n"/>
    </row>
    <row r="290">
      <c r="A290" s="17" t="n"/>
      <c r="B290" s="17" t="n"/>
      <c r="C290" s="18" t="n"/>
      <c r="D290" s="19" t="n"/>
      <c r="E290" s="17" t="n"/>
      <c r="F290" s="17" t="n"/>
      <c r="G290" s="17" t="n"/>
      <c r="H290" s="17" t="n"/>
      <c r="I290" s="17" t="n"/>
      <c r="J290" s="17" t="n"/>
      <c r="K290" s="17" t="n"/>
      <c r="L290" s="20" t="n"/>
      <c r="M290" s="18" t="n"/>
      <c r="N290" s="17" t="n"/>
      <c r="O290" s="18" t="n"/>
      <c r="P290" s="17" t="n"/>
      <c r="Q290" s="17" t="n"/>
      <c r="R290" s="17" t="n"/>
      <c r="S290" s="17" t="n"/>
      <c r="T290" s="21">
        <f>IF(S290="","",IFERROR(INDEX(Carreras!$D$2:$D$152,MATCH(S290,Carreras!$A$2:$A$152,0)),"En Umbral"))</f>
        <v/>
      </c>
      <c r="U290" s="18" t="n"/>
      <c r="V290" s="18" t="n"/>
      <c r="W290" s="18" t="n"/>
      <c r="X290" s="17" t="n"/>
      <c r="Y290" s="22" t="n"/>
      <c r="Z290" s="17" t="n"/>
      <c r="AA290" s="17" t="n"/>
    </row>
    <row r="291">
      <c r="A291" s="17" t="n"/>
      <c r="B291" s="17" t="n"/>
      <c r="C291" s="18" t="n"/>
      <c r="D291" s="19" t="n"/>
      <c r="E291" s="17" t="n"/>
      <c r="F291" s="17" t="n"/>
      <c r="G291" s="17" t="n"/>
      <c r="H291" s="17" t="n"/>
      <c r="I291" s="17" t="n"/>
      <c r="J291" s="17" t="n"/>
      <c r="K291" s="17" t="n"/>
      <c r="L291" s="20" t="n"/>
      <c r="M291" s="18" t="n"/>
      <c r="N291" s="17" t="n"/>
      <c r="O291" s="18" t="n"/>
      <c r="P291" s="17" t="n"/>
      <c r="Q291" s="17" t="n"/>
      <c r="R291" s="17" t="n"/>
      <c r="S291" s="17" t="n"/>
      <c r="T291" s="21">
        <f>IF(S291="","",IFERROR(INDEX(Carreras!$D$2:$D$152,MATCH(S291,Carreras!$A$2:$A$152,0)),"En Umbral"))</f>
        <v/>
      </c>
      <c r="U291" s="18" t="n"/>
      <c r="V291" s="18" t="n"/>
      <c r="W291" s="18" t="n"/>
      <c r="X291" s="17" t="n"/>
      <c r="Y291" s="22" t="n"/>
      <c r="Z291" s="17" t="n"/>
      <c r="AA291" s="17" t="n"/>
    </row>
    <row r="292">
      <c r="A292" s="17" t="n"/>
      <c r="B292" s="17" t="n"/>
      <c r="C292" s="18" t="n"/>
      <c r="D292" s="19" t="n"/>
      <c r="E292" s="17" t="n"/>
      <c r="F292" s="17" t="n"/>
      <c r="G292" s="17" t="n"/>
      <c r="H292" s="17" t="n"/>
      <c r="I292" s="17" t="n"/>
      <c r="J292" s="17" t="n"/>
      <c r="K292" s="17" t="n"/>
      <c r="L292" s="20" t="n"/>
      <c r="M292" s="18" t="n"/>
      <c r="N292" s="17" t="n"/>
      <c r="O292" s="18" t="n"/>
      <c r="P292" s="17" t="n"/>
      <c r="Q292" s="17" t="n"/>
      <c r="R292" s="17" t="n"/>
      <c r="S292" s="17" t="n"/>
      <c r="T292" s="21">
        <f>IF(S292="","",IFERROR(INDEX(Carreras!$D$2:$D$152,MATCH(S292,Carreras!$A$2:$A$152,0)),"En Umbral"))</f>
        <v/>
      </c>
      <c r="U292" s="18" t="n"/>
      <c r="V292" s="18" t="n"/>
      <c r="W292" s="18" t="n"/>
      <c r="X292" s="17" t="n"/>
      <c r="Y292" s="22" t="n"/>
      <c r="Z292" s="17" t="n"/>
      <c r="AA292" s="17" t="n"/>
    </row>
    <row r="293">
      <c r="A293" s="17" t="n"/>
      <c r="B293" s="17" t="n"/>
      <c r="C293" s="18" t="n"/>
      <c r="D293" s="19" t="n"/>
      <c r="E293" s="17" t="n"/>
      <c r="F293" s="17" t="n"/>
      <c r="G293" s="17" t="n"/>
      <c r="H293" s="17" t="n"/>
      <c r="I293" s="17" t="n"/>
      <c r="J293" s="17" t="n"/>
      <c r="K293" s="17" t="n"/>
      <c r="L293" s="20" t="n"/>
      <c r="M293" s="18" t="n"/>
      <c r="N293" s="17" t="n"/>
      <c r="O293" s="18" t="n"/>
      <c r="P293" s="17" t="n"/>
      <c r="Q293" s="17" t="n"/>
      <c r="R293" s="17" t="n"/>
      <c r="S293" s="17" t="n"/>
      <c r="T293" s="21">
        <f>IF(S293="","",IFERROR(INDEX(Carreras!$D$2:$D$152,MATCH(S293,Carreras!$A$2:$A$152,0)),"En Umbral"))</f>
        <v/>
      </c>
      <c r="U293" s="18" t="n"/>
      <c r="V293" s="18" t="n"/>
      <c r="W293" s="18" t="n"/>
      <c r="X293" s="17" t="n"/>
      <c r="Y293" s="22" t="n"/>
      <c r="Z293" s="17" t="n"/>
      <c r="AA293" s="17" t="n"/>
    </row>
    <row r="294">
      <c r="A294" s="17" t="n"/>
      <c r="B294" s="17" t="n"/>
      <c r="C294" s="18" t="n"/>
      <c r="D294" s="19" t="n"/>
      <c r="E294" s="17" t="n"/>
      <c r="F294" s="17" t="n"/>
      <c r="G294" s="17" t="n"/>
      <c r="H294" s="17" t="n"/>
      <c r="I294" s="17" t="n"/>
      <c r="J294" s="17" t="n"/>
      <c r="K294" s="17" t="n"/>
      <c r="L294" s="20" t="n"/>
      <c r="M294" s="18" t="n"/>
      <c r="N294" s="17" t="n"/>
      <c r="O294" s="18" t="n"/>
      <c r="P294" s="17" t="n"/>
      <c r="Q294" s="17" t="n"/>
      <c r="R294" s="17" t="n"/>
      <c r="S294" s="17" t="n"/>
      <c r="T294" s="21">
        <f>IF(S294="","",IFERROR(INDEX(Carreras!$D$2:$D$152,MATCH(S294,Carreras!$A$2:$A$152,0)),"En Umbral"))</f>
        <v/>
      </c>
      <c r="U294" s="18" t="n"/>
      <c r="V294" s="18" t="n"/>
      <c r="W294" s="18" t="n"/>
      <c r="X294" s="17" t="n"/>
      <c r="Y294" s="22" t="n"/>
      <c r="Z294" s="17" t="n"/>
      <c r="AA294" s="17" t="n"/>
    </row>
    <row r="295">
      <c r="A295" s="17" t="n"/>
      <c r="B295" s="17" t="n"/>
      <c r="C295" s="18" t="n"/>
      <c r="D295" s="19" t="n"/>
      <c r="E295" s="17" t="n"/>
      <c r="F295" s="17" t="n"/>
      <c r="G295" s="17" t="n"/>
      <c r="H295" s="17" t="n"/>
      <c r="I295" s="17" t="n"/>
      <c r="J295" s="17" t="n"/>
      <c r="K295" s="17" t="n"/>
      <c r="L295" s="20" t="n"/>
      <c r="M295" s="18" t="n"/>
      <c r="N295" s="17" t="n"/>
      <c r="O295" s="18" t="n"/>
      <c r="P295" s="17" t="n"/>
      <c r="Q295" s="17" t="n"/>
      <c r="R295" s="17" t="n"/>
      <c r="S295" s="17" t="n"/>
      <c r="T295" s="21">
        <f>IF(S295="","",IFERROR(INDEX(Carreras!$D$2:$D$152,MATCH(S295,Carreras!$A$2:$A$152,0)),"En Umbral"))</f>
        <v/>
      </c>
      <c r="U295" s="18" t="n"/>
      <c r="V295" s="18" t="n"/>
      <c r="W295" s="18" t="n"/>
      <c r="X295" s="17" t="n"/>
      <c r="Y295" s="22" t="n"/>
      <c r="Z295" s="17" t="n"/>
      <c r="AA295" s="17" t="n"/>
    </row>
    <row r="296">
      <c r="A296" s="17" t="n"/>
      <c r="B296" s="17" t="n"/>
      <c r="C296" s="18" t="n"/>
      <c r="D296" s="19" t="n"/>
      <c r="E296" s="17" t="n"/>
      <c r="F296" s="17" t="n"/>
      <c r="G296" s="17" t="n"/>
      <c r="H296" s="17" t="n"/>
      <c r="I296" s="17" t="n"/>
      <c r="J296" s="17" t="n"/>
      <c r="K296" s="17" t="n"/>
      <c r="L296" s="20" t="n"/>
      <c r="M296" s="18" t="n"/>
      <c r="N296" s="17" t="n"/>
      <c r="O296" s="18" t="n"/>
      <c r="P296" s="17" t="n"/>
      <c r="Q296" s="17" t="n"/>
      <c r="R296" s="17" t="n"/>
      <c r="S296" s="17" t="n"/>
      <c r="T296" s="21">
        <f>IF(S296="","",IFERROR(INDEX(Carreras!$D$2:$D$152,MATCH(S296,Carreras!$A$2:$A$152,0)),"En Umbral"))</f>
        <v/>
      </c>
      <c r="U296" s="18" t="n"/>
      <c r="V296" s="18" t="n"/>
      <c r="W296" s="18" t="n"/>
      <c r="X296" s="17" t="n"/>
      <c r="Y296" s="22" t="n"/>
      <c r="Z296" s="17" t="n"/>
      <c r="AA296" s="17" t="n"/>
    </row>
    <row r="297">
      <c r="A297" s="17" t="n"/>
      <c r="B297" s="17" t="n"/>
      <c r="C297" s="18" t="n"/>
      <c r="D297" s="19" t="n"/>
      <c r="E297" s="17" t="n"/>
      <c r="F297" s="17" t="n"/>
      <c r="G297" s="17" t="n"/>
      <c r="H297" s="17" t="n"/>
      <c r="I297" s="17" t="n"/>
      <c r="J297" s="17" t="n"/>
      <c r="K297" s="17" t="n"/>
      <c r="L297" s="20" t="n"/>
      <c r="M297" s="18" t="n"/>
      <c r="N297" s="17" t="n"/>
      <c r="O297" s="18" t="n"/>
      <c r="P297" s="17" t="n"/>
      <c r="Q297" s="17" t="n"/>
      <c r="R297" s="17" t="n"/>
      <c r="S297" s="17" t="n"/>
      <c r="T297" s="21">
        <f>IF(S297="","",IFERROR(INDEX(Carreras!$D$2:$D$152,MATCH(S297,Carreras!$A$2:$A$152,0)),"En Umbral"))</f>
        <v/>
      </c>
      <c r="U297" s="18" t="n"/>
      <c r="V297" s="18" t="n"/>
      <c r="W297" s="18" t="n"/>
      <c r="X297" s="17" t="n"/>
      <c r="Y297" s="22" t="n"/>
      <c r="Z297" s="17" t="n"/>
      <c r="AA297" s="17" t="n"/>
    </row>
    <row r="298">
      <c r="A298" s="17" t="n"/>
      <c r="B298" s="17" t="n"/>
      <c r="C298" s="18" t="n"/>
      <c r="D298" s="19" t="n"/>
      <c r="E298" s="17" t="n"/>
      <c r="F298" s="17" t="n"/>
      <c r="G298" s="17" t="n"/>
      <c r="H298" s="17" t="n"/>
      <c r="I298" s="17" t="n"/>
      <c r="J298" s="17" t="n"/>
      <c r="K298" s="17" t="n"/>
      <c r="L298" s="20" t="n"/>
      <c r="M298" s="18" t="n"/>
      <c r="N298" s="17" t="n"/>
      <c r="O298" s="18" t="n"/>
      <c r="P298" s="17" t="n"/>
      <c r="Q298" s="17" t="n"/>
      <c r="R298" s="17" t="n"/>
      <c r="S298" s="17" t="n"/>
      <c r="T298" s="21">
        <f>IF(S298="","",IFERROR(INDEX(Carreras!$D$2:$D$152,MATCH(S298,Carreras!$A$2:$A$152,0)),"En Umbral"))</f>
        <v/>
      </c>
      <c r="U298" s="18" t="n"/>
      <c r="V298" s="18" t="n"/>
      <c r="W298" s="18" t="n"/>
      <c r="X298" s="17" t="n"/>
      <c r="Y298" s="22" t="n"/>
      <c r="Z298" s="17" t="n"/>
      <c r="AA298" s="17" t="n"/>
    </row>
    <row r="299">
      <c r="A299" s="17" t="n"/>
      <c r="B299" s="17" t="n"/>
      <c r="C299" s="18" t="n"/>
      <c r="D299" s="19" t="n"/>
      <c r="E299" s="17" t="n"/>
      <c r="F299" s="17" t="n"/>
      <c r="G299" s="17" t="n"/>
      <c r="H299" s="17" t="n"/>
      <c r="I299" s="17" t="n"/>
      <c r="J299" s="17" t="n"/>
      <c r="K299" s="17" t="n"/>
      <c r="L299" s="20" t="n"/>
      <c r="M299" s="18" t="n"/>
      <c r="N299" s="17" t="n"/>
      <c r="O299" s="18" t="n"/>
      <c r="P299" s="17" t="n"/>
      <c r="Q299" s="17" t="n"/>
      <c r="R299" s="17" t="n"/>
      <c r="S299" s="17" t="n"/>
      <c r="T299" s="21">
        <f>IF(S299="","",IFERROR(INDEX(Carreras!$D$2:$D$152,MATCH(S299,Carreras!$A$2:$A$152,0)),"En Umbral"))</f>
        <v/>
      </c>
      <c r="U299" s="18" t="n"/>
      <c r="V299" s="18" t="n"/>
      <c r="W299" s="18" t="n"/>
      <c r="X299" s="17" t="n"/>
      <c r="Y299" s="22" t="n"/>
      <c r="Z299" s="17" t="n"/>
      <c r="AA299" s="17" t="n"/>
    </row>
    <row r="300">
      <c r="A300" s="17" t="n"/>
      <c r="B300" s="17" t="n"/>
      <c r="C300" s="18" t="n"/>
      <c r="D300" s="19" t="n"/>
      <c r="E300" s="17" t="n"/>
      <c r="F300" s="17" t="n"/>
      <c r="G300" s="17" t="n"/>
      <c r="H300" s="17" t="n"/>
      <c r="I300" s="17" t="n"/>
      <c r="J300" s="17" t="n"/>
      <c r="K300" s="17" t="n"/>
      <c r="L300" s="20" t="n"/>
      <c r="M300" s="18" t="n"/>
      <c r="N300" s="17" t="n"/>
      <c r="O300" s="18" t="n"/>
      <c r="P300" s="17" t="n"/>
      <c r="Q300" s="17" t="n"/>
      <c r="R300" s="17" t="n"/>
      <c r="S300" s="17" t="n"/>
      <c r="T300" s="21">
        <f>IF(S300="","",IFERROR(INDEX(Carreras!$D$2:$D$152,MATCH(S300,Carreras!$A$2:$A$152,0)),"En Umbral"))</f>
        <v/>
      </c>
      <c r="U300" s="18" t="n"/>
      <c r="V300" s="18" t="n"/>
      <c r="W300" s="18" t="n"/>
      <c r="X300" s="17" t="n"/>
      <c r="Y300" s="22" t="n"/>
      <c r="Z300" s="17" t="n"/>
      <c r="AA300" s="17" t="n"/>
    </row>
    <row r="301">
      <c r="A301" s="17" t="n"/>
      <c r="B301" s="17" t="n"/>
      <c r="C301" s="18" t="n"/>
      <c r="D301" s="19" t="n"/>
      <c r="E301" s="17" t="n"/>
      <c r="F301" s="17" t="n"/>
      <c r="G301" s="17" t="n"/>
      <c r="H301" s="17" t="n"/>
      <c r="I301" s="17" t="n"/>
      <c r="J301" s="17" t="n"/>
      <c r="K301" s="17" t="n"/>
      <c r="L301" s="20" t="n"/>
      <c r="M301" s="18" t="n"/>
      <c r="N301" s="17" t="n"/>
      <c r="O301" s="18" t="n"/>
      <c r="P301" s="17" t="n"/>
      <c r="Q301" s="17" t="n"/>
      <c r="R301" s="17" t="n"/>
      <c r="S301" s="17" t="n"/>
      <c r="T301" s="21">
        <f>IF(S301="","",IFERROR(INDEX(Carreras!$D$2:$D$152,MATCH(S301,Carreras!$A$2:$A$152,0)),"En Umbral"))</f>
        <v/>
      </c>
      <c r="U301" s="18" t="n"/>
      <c r="V301" s="18" t="n"/>
      <c r="W301" s="18" t="n"/>
      <c r="X301" s="17" t="n"/>
      <c r="Y301" s="22" t="n"/>
      <c r="Z301" s="17" t="n"/>
      <c r="AA301" s="17" t="n"/>
    </row>
    <row r="302">
      <c r="A302" s="17" t="n"/>
      <c r="B302" s="17" t="n"/>
      <c r="C302" s="18" t="n"/>
      <c r="D302" s="19" t="n"/>
      <c r="E302" s="17" t="n"/>
      <c r="F302" s="17" t="n"/>
      <c r="G302" s="17" t="n"/>
      <c r="H302" s="17" t="n"/>
      <c r="I302" s="17" t="n"/>
      <c r="J302" s="17" t="n"/>
      <c r="K302" s="17" t="n"/>
      <c r="L302" s="20" t="n"/>
      <c r="M302" s="18" t="n"/>
      <c r="N302" s="17" t="n"/>
      <c r="O302" s="18" t="n"/>
      <c r="P302" s="17" t="n"/>
      <c r="Q302" s="17" t="n"/>
      <c r="R302" s="17" t="n"/>
      <c r="S302" s="17" t="n"/>
      <c r="T302" s="21">
        <f>IF(S302="","",IFERROR(INDEX(Carreras!$D$2:$D$152,MATCH(S302,Carreras!$A$2:$A$152,0)),"En Umbral"))</f>
        <v/>
      </c>
      <c r="U302" s="18" t="n"/>
      <c r="V302" s="18" t="n"/>
      <c r="W302" s="18" t="n"/>
      <c r="X302" s="17" t="n"/>
      <c r="Y302" s="22" t="n"/>
      <c r="Z302" s="17" t="n"/>
      <c r="AA302" s="17" t="n"/>
    </row>
  </sheetData>
  <autoFilter ref="A1:AA302"/>
  <conditionalFormatting sqref="A3:A302">
    <cfRule type="expression" priority="1" dxfId="0">
      <formula>AND($A3&lt;&gt;"",COUNTIF($A$3:$A$302,$A3)&gt;1)</formula>
    </cfRule>
  </conditionalFormatting>
  <conditionalFormatting sqref="Q3:Q302">
    <cfRule type="expression" priority="2" dxfId="0">
      <formula>AND(ISNUMBER($P3),ISNUMBER($Q3),$Q3&gt;=$P3)</formula>
    </cfRule>
  </conditionalFormatting>
  <conditionalFormatting sqref="S3:S302">
    <cfRule type="expression" priority="3" dxfId="0">
      <formula>AND($R3="Carrera",$S3="")</formula>
    </cfRule>
  </conditionalFormatting>
  <conditionalFormatting sqref="R3:R302">
    <cfRule type="expression" priority="4" dxfId="0">
      <formula>AND($A3&lt;&gt;"",$R3="")</formula>
    </cfRule>
  </conditionalFormatting>
  <conditionalFormatting sqref="Y3:Y302">
    <cfRule type="expression" priority="5" dxfId="0">
      <formula>AND($A3&lt;&gt;"",$X3&lt;&gt;"Gratis",$Y3="")</formula>
    </cfRule>
  </conditionalFormatting>
  <conditionalFormatting sqref="B3:B302">
    <cfRule type="expression" priority="6" dxfId="0">
      <formula>AND($AA3="Sí",$B3="")</formula>
    </cfRule>
  </conditionalFormatting>
  <conditionalFormatting sqref="U3:U302">
    <cfRule type="expression" priority="7" dxfId="0">
      <formula>AND($U3&lt;&gt;"",OR($T3="Triatlón",$T3="Duatlón",$T3="Natación",$T3="Ciclismo",$T3="Hyrox",$T3="Otra"))</formula>
    </cfRule>
  </conditionalFormatting>
  <conditionalFormatting sqref="V3:V302">
    <cfRule type="expression" priority="8" dxfId="0">
      <formula>AND($V3&lt;&gt;"",OR($T3="Ruta",$T3="Trail"))</formula>
    </cfRule>
  </conditionalFormatting>
  <conditionalFormatting sqref="S3:V302">
    <cfRule type="expression" priority="9" dxfId="1">
      <formula>$R3="Mantenimiento"</formula>
    </cfRule>
  </conditionalFormatting>
  <dataValidations count="23">
    <dataValidation sqref="A2:A302" showDropDown="0" showInputMessage="0" showErrorMessage="1" allowBlank="1" errorTitle="Valor no válido" error="Hasta 120 caracteres." type="custom">
      <formula1>=LEN(A2)&lt;=120</formula1>
    </dataValidation>
    <dataValidation sqref="B2:B302" showDropDown="0" showInputMessage="0" showErrorMessage="1" allowBlank="1" errorTitle="Valor no válido" error="Escribe un email válido." type="custom">
      <formula1>=AND(ISNUMBER(FIND("@",B2)),ISNUMBER(FIND(".",B2)),LEN(B2)&lt;=255)</formula1>
    </dataValidation>
    <dataValidation sqref="D2:D302" showDropDown="0" showInputMessage="0" showErrorMessage="1" allowBlank="1" errorTitle="Valor no válido" error="Debe ser una fecha pasada." type="date" operator="lessThan">
      <formula1>TODAY()</formula1>
    </dataValidation>
    <dataValidation sqref="E2:E302" showDropDown="0" showInputMessage="0" showErrorMessage="1" allowBlank="1" errorTitle="Valor no válido" error="Elige una opción de la lista." type="list">
      <formula1>=lst_Sexo</formula1>
    </dataValidation>
    <dataValidation sqref="F2:F302" showDropDown="0" showInputMessage="0" showErrorMessage="1" allowBlank="1" errorTitle="Valor no válido" error="Elige una opción de la lista." type="list">
      <formula1>=lst_SiNo</formula1>
    </dataValidation>
    <dataValidation sqref="G2:G302" showDropDown="0" showInputMessage="0" showErrorMessage="1" allowBlank="1" errorTitle="Valor no válido" error="Elige una opción de la lista." type="list">
      <formula1>=lst_SiNo</formula1>
    </dataValidation>
    <dataValidation sqref="H2:H302" showDropDown="0" showInputMessage="0" showErrorMessage="1" allowBlank="1" errorTitle="Valor no válido" error="Elige una opción de la lista." type="list">
      <formula1>=lst_SiNo</formula1>
    </dataValidation>
    <dataValidation sqref="I2:I302" showDropDown="0" showInputMessage="0" showErrorMessage="1" allowBlank="1" errorTitle="Valor no válido" error="Elige una opción de la lista." type="list">
      <formula1>=lst_SiNo</formula1>
    </dataValidation>
    <dataValidation sqref="J2:J302" showDropDown="0" showInputMessage="0" showErrorMessage="1" allowBlank="1" errorTitle="Valor no válido" error="Elige una opción de la lista." type="list">
      <formula1>=lst_Nivel</formula1>
    </dataValidation>
    <dataValidation sqref="K2:K302" showDropDown="0" showInputMessage="0" showErrorMessage="1" allowBlank="1" errorTitle="Valor no válido" error="Entre 1 y 7 días." type="whole" operator="between">
      <formula1>1</formula1>
      <formula2>7</formula2>
    </dataValidation>
    <dataValidation sqref="L2:L302" showDropDown="0" showInputMessage="0" showErrorMessage="1" allowBlank="1" errorTitle="Valor no válido" error="Entre 1 y 40 horas." type="decimal" operator="between">
      <formula1>1</formula1>
      <formula2>40</formula2>
    </dataValidation>
    <dataValidation sqref="M2:M302" showDropDown="0" showInputMessage="0" showErrorMessage="1" allowBlank="1" errorTitle="Valor no válido" error="Formato m:ss, entre 2:00 y 20:00." type="custom">
      <formula1>=AND(AND(LEN(M2)-LEN(SUBSTITUTE(M2,":",""))=1,ISNUMBER(TIMEVALUE("0:"&amp;M2))),TIMEVALUE("0:"&amp;M2)*86400&gt;=120,TIMEVALUE("0:"&amp;M2)*86400&lt;=1200)</formula1>
    </dataValidation>
    <dataValidation sqref="N2:N302" showDropDown="0" showInputMessage="0" showErrorMessage="1" allowBlank="1" errorTitle="Valor no válido" error="Entre 1 y 2000 W." type="whole" operator="between">
      <formula1>1</formula1>
      <formula2>2000</formula2>
    </dataValidation>
    <dataValidation sqref="O2:O302" showDropDown="0" showInputMessage="0" showErrorMessage="1" allowBlank="1" errorTitle="Valor no válido" error="Formato m:ss, entre 0:40 y 10:00." type="custom">
      <formula1>=AND(AND(LEN(O2)-LEN(SUBSTITUTE(O2,":",""))=1,ISNUMBER(TIMEVALUE("0:"&amp;O2))),TIMEVALUE("0:"&amp;O2)*86400&gt;=40,TIMEVALUE("0:"&amp;O2)*86400&lt;=600)</formula1>
    </dataValidation>
    <dataValidation sqref="P2:P302" showDropDown="0" showInputMessage="0" showErrorMessage="1" allowBlank="1" errorTitle="Valor no válido" error="Entre 100 y 230." type="whole" operator="between">
      <formula1>100</formula1>
      <formula2>230</formula2>
    </dataValidation>
    <dataValidation sqref="Q2:Q302" showDropDown="0" showInputMessage="0" showErrorMessage="1" allowBlank="1" errorTitle="Valor no válido" error="Entre 30 y 120." type="whole" operator="between">
      <formula1>30</formula1>
      <formula2>120</formula2>
    </dataValidation>
    <dataValidation sqref="R2:R302" showDropDown="0" showInputMessage="0" showErrorMessage="1" allowBlank="1" errorTitle="Valor no válido" error="Elige una opción de la lista." type="list">
      <formula1>=lst_Objetivo</formula1>
    </dataValidation>
    <dataValidation sqref="U2:U302" showDropDown="0" showInputMessage="0" showErrorMessage="1" allowBlank="1" errorTitle="Valor no válido" error="Formato m:ss, entre 2:00 y 20:00." type="custom">
      <formula1>=AND(AND(LEN(U2)-LEN(SUBSTITUTE(U2,":",""))=1,ISNUMBER(TIMEVALUE("0:"&amp;U2))),TIMEVALUE("0:"&amp;U2)*86400&gt;=120,TIMEVALUE("0:"&amp;U2)*86400&lt;=1200)</formula1>
    </dataValidation>
    <dataValidation sqref="V2:V302" showDropDown="0" showInputMessage="0" showErrorMessage="1" allowBlank="1" errorTitle="Valor no válido" error="Formato h:mm:ss o m:ss." type="custom">
      <formula1>=ISNUMBER(IFERROR(TIMEVALUE(IF(LEN(V2)-LEN(SUBSTITUTE(V2,":",""))=2,"","0:")&amp;V2)*86400,""))</formula1>
    </dataValidation>
    <dataValidation sqref="X2:X302" showDropDown="0" showInputMessage="0" showErrorMessage="1" allowBlank="1" errorTitle="Valor no válido" error="Elige una opción de la lista." type="list">
      <formula1>=lst_Membresia</formula1>
    </dataValidation>
    <dataValidation sqref="Y2:Y302" showDropDown="0" showInputMessage="0" showErrorMessage="1" allowBlank="1" errorTitle="Valor no válido" error="Debe ser mayor que 0." type="decimal" operator="greaterThan">
      <formula1>0</formula1>
    </dataValidation>
    <dataValidation sqref="Z2:Z302" showDropDown="0" showInputMessage="0" showErrorMessage="1" allowBlank="1" errorTitle="Valor no válido" error="Hasta 8 caracteres." type="custom">
      <formula1>=LEN(Z2)&lt;=8</formula1>
    </dataValidation>
    <dataValidation sqref="AA2:AA302" showDropDown="0" showInputMessage="0" showErrorMessage="1" allowBlank="1" errorTitle="Valor no válido" error="Elige una opción de la lista." type="list">
      <formula1>=lst_SiNo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  <col width="13" customWidth="1" min="4" max="4"/>
    <col width="36" customWidth="1" min="5" max="5"/>
    <col width="12" customWidth="1" min="6" max="6"/>
    <col width="11" customWidth="1" min="7" max="7"/>
  </cols>
  <sheetData>
    <row r="1" ht="42" customHeight="1">
      <c r="A1" s="9" t="inlineStr">
        <is>
          <t>Atleta *</t>
        </is>
      </c>
      <c r="B1" s="9" t="inlineStr">
        <is>
          <t>Distancia *</t>
        </is>
      </c>
      <c r="C1" s="9" t="inlineStr">
        <is>
          <t>Tiempo *</t>
        </is>
      </c>
      <c r="D1" s="9" t="inlineStr">
        <is>
          <t>Fecha *</t>
        </is>
      </c>
      <c r="E1" s="10" t="inlineStr">
        <is>
          <t>Nota</t>
        </is>
      </c>
      <c r="F1" s="11" t="inlineStr">
        <is>
          <t>Ritmo (min/km)</t>
        </is>
      </c>
      <c r="G1" s="11" t="inlineStr">
        <is>
          <t>¿Atleta en la hoja?</t>
        </is>
      </c>
    </row>
    <row r="2">
      <c r="A2" s="12" t="inlineStr">
        <is>
          <t>María José López</t>
        </is>
      </c>
      <c r="B2" s="12" t="inlineStr">
        <is>
          <t>10K</t>
        </is>
      </c>
      <c r="C2" s="13" t="inlineStr">
        <is>
          <t>47:20</t>
        </is>
      </c>
      <c r="D2" s="14" t="n">
        <v>46187</v>
      </c>
      <c r="E2" s="12" t="inlineStr">
        <is>
          <t>Carrera del Sol</t>
        </is>
      </c>
      <c r="F2" s="12">
        <f>IF(OR(B2="",C2=""),"",IFERROR(INT(ROUND(IFERROR(TIMEVALUE(IF(LEN(C2)-LEN(SUBSTITUTE(C2,":",""))=2,"","0:")&amp;C2)*86400,"")/VALUE(SUBSTITUTE(B2,"K","")),0)/60)&amp;":"&amp;TEXT(MOD(ROUND(IFERROR(TIMEVALUE(IF(LEN(C2)-LEN(SUBSTITUTE(C2,":",""))=2,"","0:")&amp;C2)*86400,"")/VALUE(SUBSTITUTE(B2,"K","")),0),60),"00"),""))</f>
        <v/>
      </c>
      <c r="G2" s="12">
        <f>IF(A2="","",IF(COUNTIF(Atletas!$A$2:$A$302,A2)&gt;0,"Sí","No"))</f>
        <v/>
      </c>
    </row>
    <row r="3">
      <c r="A3" s="17" t="n"/>
      <c r="B3" s="17" t="n"/>
      <c r="C3" s="18" t="n"/>
      <c r="D3" s="19" t="n"/>
      <c r="E3" s="17" t="n"/>
      <c r="F3" s="21">
        <f>IF(OR(B3="",C3=""),"",IFERROR(INT(ROUND(IFERROR(TIMEVALUE(IF(LEN(C3)-LEN(SUBSTITUTE(C3,":",""))=2,"","0:")&amp;C3)*86400,"")/VALUE(SUBSTITUTE(B3,"K","")),0)/60)&amp;":"&amp;TEXT(MOD(ROUND(IFERROR(TIMEVALUE(IF(LEN(C3)-LEN(SUBSTITUTE(C3,":",""))=2,"","0:")&amp;C3)*86400,"")/VALUE(SUBSTITUTE(B3,"K","")),0),60),"00"),""))</f>
        <v/>
      </c>
      <c r="G3" s="21">
        <f>IF(A3="","",IF(COUNTIF(Atletas!$A$2:$A$302,A3)&gt;0,"Sí","No"))</f>
        <v/>
      </c>
    </row>
    <row r="4">
      <c r="A4" s="17" t="n"/>
      <c r="B4" s="17" t="n"/>
      <c r="C4" s="18" t="n"/>
      <c r="D4" s="19" t="n"/>
      <c r="E4" s="17" t="n"/>
      <c r="F4" s="21">
        <f>IF(OR(B4="",C4=""),"",IFERROR(INT(ROUND(IFERROR(TIMEVALUE(IF(LEN(C4)-LEN(SUBSTITUTE(C4,":",""))=2,"","0:")&amp;C4)*86400,"")/VALUE(SUBSTITUTE(B4,"K","")),0)/60)&amp;":"&amp;TEXT(MOD(ROUND(IFERROR(TIMEVALUE(IF(LEN(C4)-LEN(SUBSTITUTE(C4,":",""))=2,"","0:")&amp;C4)*86400,"")/VALUE(SUBSTITUTE(B4,"K","")),0),60),"00"),""))</f>
        <v/>
      </c>
      <c r="G4" s="21">
        <f>IF(A4="","",IF(COUNTIF(Atletas!$A$2:$A$302,A4)&gt;0,"Sí","No"))</f>
        <v/>
      </c>
    </row>
    <row r="5">
      <c r="A5" s="17" t="n"/>
      <c r="B5" s="17" t="n"/>
      <c r="C5" s="18" t="n"/>
      <c r="D5" s="19" t="n"/>
      <c r="E5" s="17" t="n"/>
      <c r="F5" s="21">
        <f>IF(OR(B5="",C5=""),"",IFERROR(INT(ROUND(IFERROR(TIMEVALUE(IF(LEN(C5)-LEN(SUBSTITUTE(C5,":",""))=2,"","0:")&amp;C5)*86400,"")/VALUE(SUBSTITUTE(B5,"K","")),0)/60)&amp;":"&amp;TEXT(MOD(ROUND(IFERROR(TIMEVALUE(IF(LEN(C5)-LEN(SUBSTITUTE(C5,":",""))=2,"","0:")&amp;C5)*86400,"")/VALUE(SUBSTITUTE(B5,"K","")),0),60),"00"),""))</f>
        <v/>
      </c>
      <c r="G5" s="21">
        <f>IF(A5="","",IF(COUNTIF(Atletas!$A$2:$A$302,A5)&gt;0,"Sí","No"))</f>
        <v/>
      </c>
    </row>
    <row r="6">
      <c r="A6" s="17" t="n"/>
      <c r="B6" s="17" t="n"/>
      <c r="C6" s="18" t="n"/>
      <c r="D6" s="19" t="n"/>
      <c r="E6" s="17" t="n"/>
      <c r="F6" s="21">
        <f>IF(OR(B6="",C6=""),"",IFERROR(INT(ROUND(IFERROR(TIMEVALUE(IF(LEN(C6)-LEN(SUBSTITUTE(C6,":",""))=2,"","0:")&amp;C6)*86400,"")/VALUE(SUBSTITUTE(B6,"K","")),0)/60)&amp;":"&amp;TEXT(MOD(ROUND(IFERROR(TIMEVALUE(IF(LEN(C6)-LEN(SUBSTITUTE(C6,":",""))=2,"","0:")&amp;C6)*86400,"")/VALUE(SUBSTITUTE(B6,"K","")),0),60),"00"),""))</f>
        <v/>
      </c>
      <c r="G6" s="21">
        <f>IF(A6="","",IF(COUNTIF(Atletas!$A$2:$A$302,A6)&gt;0,"Sí","No"))</f>
        <v/>
      </c>
    </row>
    <row r="7">
      <c r="A7" s="17" t="n"/>
      <c r="B7" s="17" t="n"/>
      <c r="C7" s="18" t="n"/>
      <c r="D7" s="19" t="n"/>
      <c r="E7" s="17" t="n"/>
      <c r="F7" s="21">
        <f>IF(OR(B7="",C7=""),"",IFERROR(INT(ROUND(IFERROR(TIMEVALUE(IF(LEN(C7)-LEN(SUBSTITUTE(C7,":",""))=2,"","0:")&amp;C7)*86400,"")/VALUE(SUBSTITUTE(B7,"K","")),0)/60)&amp;":"&amp;TEXT(MOD(ROUND(IFERROR(TIMEVALUE(IF(LEN(C7)-LEN(SUBSTITUTE(C7,":",""))=2,"","0:")&amp;C7)*86400,"")/VALUE(SUBSTITUTE(B7,"K","")),0),60),"00"),""))</f>
        <v/>
      </c>
      <c r="G7" s="21">
        <f>IF(A7="","",IF(COUNTIF(Atletas!$A$2:$A$302,A7)&gt;0,"Sí","No"))</f>
        <v/>
      </c>
    </row>
    <row r="8">
      <c r="A8" s="17" t="n"/>
      <c r="B8" s="17" t="n"/>
      <c r="C8" s="18" t="n"/>
      <c r="D8" s="19" t="n"/>
      <c r="E8" s="17" t="n"/>
      <c r="F8" s="21">
        <f>IF(OR(B8="",C8=""),"",IFERROR(INT(ROUND(IFERROR(TIMEVALUE(IF(LEN(C8)-LEN(SUBSTITUTE(C8,":",""))=2,"","0:")&amp;C8)*86400,"")/VALUE(SUBSTITUTE(B8,"K","")),0)/60)&amp;":"&amp;TEXT(MOD(ROUND(IFERROR(TIMEVALUE(IF(LEN(C8)-LEN(SUBSTITUTE(C8,":",""))=2,"","0:")&amp;C8)*86400,"")/VALUE(SUBSTITUTE(B8,"K","")),0),60),"00"),""))</f>
        <v/>
      </c>
      <c r="G8" s="21">
        <f>IF(A8="","",IF(COUNTIF(Atletas!$A$2:$A$302,A8)&gt;0,"Sí","No"))</f>
        <v/>
      </c>
    </row>
    <row r="9">
      <c r="A9" s="17" t="n"/>
      <c r="B9" s="17" t="n"/>
      <c r="C9" s="18" t="n"/>
      <c r="D9" s="19" t="n"/>
      <c r="E9" s="17" t="n"/>
      <c r="F9" s="21">
        <f>IF(OR(B9="",C9=""),"",IFERROR(INT(ROUND(IFERROR(TIMEVALUE(IF(LEN(C9)-LEN(SUBSTITUTE(C9,":",""))=2,"","0:")&amp;C9)*86400,"")/VALUE(SUBSTITUTE(B9,"K","")),0)/60)&amp;":"&amp;TEXT(MOD(ROUND(IFERROR(TIMEVALUE(IF(LEN(C9)-LEN(SUBSTITUTE(C9,":",""))=2,"","0:")&amp;C9)*86400,"")/VALUE(SUBSTITUTE(B9,"K","")),0),60),"00"),""))</f>
        <v/>
      </c>
      <c r="G9" s="21">
        <f>IF(A9="","",IF(COUNTIF(Atletas!$A$2:$A$302,A9)&gt;0,"Sí","No"))</f>
        <v/>
      </c>
    </row>
    <row r="10">
      <c r="A10" s="17" t="n"/>
      <c r="B10" s="17" t="n"/>
      <c r="C10" s="18" t="n"/>
      <c r="D10" s="19" t="n"/>
      <c r="E10" s="17" t="n"/>
      <c r="F10" s="21">
        <f>IF(OR(B10="",C10=""),"",IFERROR(INT(ROUND(IFERROR(TIMEVALUE(IF(LEN(C10)-LEN(SUBSTITUTE(C10,":",""))=2,"","0:")&amp;C10)*86400,"")/VALUE(SUBSTITUTE(B10,"K","")),0)/60)&amp;":"&amp;TEXT(MOD(ROUND(IFERROR(TIMEVALUE(IF(LEN(C10)-LEN(SUBSTITUTE(C10,":",""))=2,"","0:")&amp;C10)*86400,"")/VALUE(SUBSTITUTE(B10,"K","")),0),60),"00"),""))</f>
        <v/>
      </c>
      <c r="G10" s="21">
        <f>IF(A10="","",IF(COUNTIF(Atletas!$A$2:$A$302,A10)&gt;0,"Sí","No"))</f>
        <v/>
      </c>
    </row>
    <row r="11">
      <c r="A11" s="17" t="n"/>
      <c r="B11" s="17" t="n"/>
      <c r="C11" s="18" t="n"/>
      <c r="D11" s="19" t="n"/>
      <c r="E11" s="17" t="n"/>
      <c r="F11" s="21">
        <f>IF(OR(B11="",C11=""),"",IFERROR(INT(ROUND(IFERROR(TIMEVALUE(IF(LEN(C11)-LEN(SUBSTITUTE(C11,":",""))=2,"","0:")&amp;C11)*86400,"")/VALUE(SUBSTITUTE(B11,"K","")),0)/60)&amp;":"&amp;TEXT(MOD(ROUND(IFERROR(TIMEVALUE(IF(LEN(C11)-LEN(SUBSTITUTE(C11,":",""))=2,"","0:")&amp;C11)*86400,"")/VALUE(SUBSTITUTE(B11,"K","")),0),60),"00"),""))</f>
        <v/>
      </c>
      <c r="G11" s="21">
        <f>IF(A11="","",IF(COUNTIF(Atletas!$A$2:$A$302,A11)&gt;0,"Sí","No"))</f>
        <v/>
      </c>
    </row>
    <row r="12">
      <c r="A12" s="17" t="n"/>
      <c r="B12" s="17" t="n"/>
      <c r="C12" s="18" t="n"/>
      <c r="D12" s="19" t="n"/>
      <c r="E12" s="17" t="n"/>
      <c r="F12" s="21">
        <f>IF(OR(B12="",C12=""),"",IFERROR(INT(ROUND(IFERROR(TIMEVALUE(IF(LEN(C12)-LEN(SUBSTITUTE(C12,":",""))=2,"","0:")&amp;C12)*86400,"")/VALUE(SUBSTITUTE(B12,"K","")),0)/60)&amp;":"&amp;TEXT(MOD(ROUND(IFERROR(TIMEVALUE(IF(LEN(C12)-LEN(SUBSTITUTE(C12,":",""))=2,"","0:")&amp;C12)*86400,"")/VALUE(SUBSTITUTE(B12,"K","")),0),60),"00"),""))</f>
        <v/>
      </c>
      <c r="G12" s="21">
        <f>IF(A12="","",IF(COUNTIF(Atletas!$A$2:$A$302,A12)&gt;0,"Sí","No"))</f>
        <v/>
      </c>
    </row>
    <row r="13">
      <c r="A13" s="17" t="n"/>
      <c r="B13" s="17" t="n"/>
      <c r="C13" s="18" t="n"/>
      <c r="D13" s="19" t="n"/>
      <c r="E13" s="17" t="n"/>
      <c r="F13" s="21">
        <f>IF(OR(B13="",C13=""),"",IFERROR(INT(ROUND(IFERROR(TIMEVALUE(IF(LEN(C13)-LEN(SUBSTITUTE(C13,":",""))=2,"","0:")&amp;C13)*86400,"")/VALUE(SUBSTITUTE(B13,"K","")),0)/60)&amp;":"&amp;TEXT(MOD(ROUND(IFERROR(TIMEVALUE(IF(LEN(C13)-LEN(SUBSTITUTE(C13,":",""))=2,"","0:")&amp;C13)*86400,"")/VALUE(SUBSTITUTE(B13,"K","")),0),60),"00"),""))</f>
        <v/>
      </c>
      <c r="G13" s="21">
        <f>IF(A13="","",IF(COUNTIF(Atletas!$A$2:$A$302,A13)&gt;0,"Sí","No"))</f>
        <v/>
      </c>
    </row>
    <row r="14">
      <c r="A14" s="17" t="n"/>
      <c r="B14" s="17" t="n"/>
      <c r="C14" s="18" t="n"/>
      <c r="D14" s="19" t="n"/>
      <c r="E14" s="17" t="n"/>
      <c r="F14" s="21">
        <f>IF(OR(B14="",C14=""),"",IFERROR(INT(ROUND(IFERROR(TIMEVALUE(IF(LEN(C14)-LEN(SUBSTITUTE(C14,":",""))=2,"","0:")&amp;C14)*86400,"")/VALUE(SUBSTITUTE(B14,"K","")),0)/60)&amp;":"&amp;TEXT(MOD(ROUND(IFERROR(TIMEVALUE(IF(LEN(C14)-LEN(SUBSTITUTE(C14,":",""))=2,"","0:")&amp;C14)*86400,"")/VALUE(SUBSTITUTE(B14,"K","")),0),60),"00"),""))</f>
        <v/>
      </c>
      <c r="G14" s="21">
        <f>IF(A14="","",IF(COUNTIF(Atletas!$A$2:$A$302,A14)&gt;0,"Sí","No"))</f>
        <v/>
      </c>
    </row>
    <row r="15">
      <c r="A15" s="17" t="n"/>
      <c r="B15" s="17" t="n"/>
      <c r="C15" s="18" t="n"/>
      <c r="D15" s="19" t="n"/>
      <c r="E15" s="17" t="n"/>
      <c r="F15" s="21">
        <f>IF(OR(B15="",C15=""),"",IFERROR(INT(ROUND(IFERROR(TIMEVALUE(IF(LEN(C15)-LEN(SUBSTITUTE(C15,":",""))=2,"","0:")&amp;C15)*86400,"")/VALUE(SUBSTITUTE(B15,"K","")),0)/60)&amp;":"&amp;TEXT(MOD(ROUND(IFERROR(TIMEVALUE(IF(LEN(C15)-LEN(SUBSTITUTE(C15,":",""))=2,"","0:")&amp;C15)*86400,"")/VALUE(SUBSTITUTE(B15,"K","")),0),60),"00"),""))</f>
        <v/>
      </c>
      <c r="G15" s="21">
        <f>IF(A15="","",IF(COUNTIF(Atletas!$A$2:$A$302,A15)&gt;0,"Sí","No"))</f>
        <v/>
      </c>
    </row>
    <row r="16">
      <c r="A16" s="17" t="n"/>
      <c r="B16" s="17" t="n"/>
      <c r="C16" s="18" t="n"/>
      <c r="D16" s="19" t="n"/>
      <c r="E16" s="17" t="n"/>
      <c r="F16" s="21">
        <f>IF(OR(B16="",C16=""),"",IFERROR(INT(ROUND(IFERROR(TIMEVALUE(IF(LEN(C16)-LEN(SUBSTITUTE(C16,":",""))=2,"","0:")&amp;C16)*86400,"")/VALUE(SUBSTITUTE(B16,"K","")),0)/60)&amp;":"&amp;TEXT(MOD(ROUND(IFERROR(TIMEVALUE(IF(LEN(C16)-LEN(SUBSTITUTE(C16,":",""))=2,"","0:")&amp;C16)*86400,"")/VALUE(SUBSTITUTE(B16,"K","")),0),60),"00"),""))</f>
        <v/>
      </c>
      <c r="G16" s="21">
        <f>IF(A16="","",IF(COUNTIF(Atletas!$A$2:$A$302,A16)&gt;0,"Sí","No"))</f>
        <v/>
      </c>
    </row>
    <row r="17">
      <c r="A17" s="17" t="n"/>
      <c r="B17" s="17" t="n"/>
      <c r="C17" s="18" t="n"/>
      <c r="D17" s="19" t="n"/>
      <c r="E17" s="17" t="n"/>
      <c r="F17" s="21">
        <f>IF(OR(B17="",C17=""),"",IFERROR(INT(ROUND(IFERROR(TIMEVALUE(IF(LEN(C17)-LEN(SUBSTITUTE(C17,":",""))=2,"","0:")&amp;C17)*86400,"")/VALUE(SUBSTITUTE(B17,"K","")),0)/60)&amp;":"&amp;TEXT(MOD(ROUND(IFERROR(TIMEVALUE(IF(LEN(C17)-LEN(SUBSTITUTE(C17,":",""))=2,"","0:")&amp;C17)*86400,"")/VALUE(SUBSTITUTE(B17,"K","")),0),60),"00"),""))</f>
        <v/>
      </c>
      <c r="G17" s="21">
        <f>IF(A17="","",IF(COUNTIF(Atletas!$A$2:$A$302,A17)&gt;0,"Sí","No"))</f>
        <v/>
      </c>
    </row>
    <row r="18">
      <c r="A18" s="17" t="n"/>
      <c r="B18" s="17" t="n"/>
      <c r="C18" s="18" t="n"/>
      <c r="D18" s="19" t="n"/>
      <c r="E18" s="17" t="n"/>
      <c r="F18" s="21">
        <f>IF(OR(B18="",C18=""),"",IFERROR(INT(ROUND(IFERROR(TIMEVALUE(IF(LEN(C18)-LEN(SUBSTITUTE(C18,":",""))=2,"","0:")&amp;C18)*86400,"")/VALUE(SUBSTITUTE(B18,"K","")),0)/60)&amp;":"&amp;TEXT(MOD(ROUND(IFERROR(TIMEVALUE(IF(LEN(C18)-LEN(SUBSTITUTE(C18,":",""))=2,"","0:")&amp;C18)*86400,"")/VALUE(SUBSTITUTE(B18,"K","")),0),60),"00"),""))</f>
        <v/>
      </c>
      <c r="G18" s="21">
        <f>IF(A18="","",IF(COUNTIF(Atletas!$A$2:$A$302,A18)&gt;0,"Sí","No"))</f>
        <v/>
      </c>
    </row>
    <row r="19">
      <c r="A19" s="17" t="n"/>
      <c r="B19" s="17" t="n"/>
      <c r="C19" s="18" t="n"/>
      <c r="D19" s="19" t="n"/>
      <c r="E19" s="17" t="n"/>
      <c r="F19" s="21">
        <f>IF(OR(B19="",C19=""),"",IFERROR(INT(ROUND(IFERROR(TIMEVALUE(IF(LEN(C19)-LEN(SUBSTITUTE(C19,":",""))=2,"","0:")&amp;C19)*86400,"")/VALUE(SUBSTITUTE(B19,"K","")),0)/60)&amp;":"&amp;TEXT(MOD(ROUND(IFERROR(TIMEVALUE(IF(LEN(C19)-LEN(SUBSTITUTE(C19,":",""))=2,"","0:")&amp;C19)*86400,"")/VALUE(SUBSTITUTE(B19,"K","")),0),60),"00"),""))</f>
        <v/>
      </c>
      <c r="G19" s="21">
        <f>IF(A19="","",IF(COUNTIF(Atletas!$A$2:$A$302,A19)&gt;0,"Sí","No"))</f>
        <v/>
      </c>
    </row>
    <row r="20">
      <c r="A20" s="17" t="n"/>
      <c r="B20" s="17" t="n"/>
      <c r="C20" s="18" t="n"/>
      <c r="D20" s="19" t="n"/>
      <c r="E20" s="17" t="n"/>
      <c r="F20" s="21">
        <f>IF(OR(B20="",C20=""),"",IFERROR(INT(ROUND(IFERROR(TIMEVALUE(IF(LEN(C20)-LEN(SUBSTITUTE(C20,":",""))=2,"","0:")&amp;C20)*86400,"")/VALUE(SUBSTITUTE(B20,"K","")),0)/60)&amp;":"&amp;TEXT(MOD(ROUND(IFERROR(TIMEVALUE(IF(LEN(C20)-LEN(SUBSTITUTE(C20,":",""))=2,"","0:")&amp;C20)*86400,"")/VALUE(SUBSTITUTE(B20,"K","")),0),60),"00"),""))</f>
        <v/>
      </c>
      <c r="G20" s="21">
        <f>IF(A20="","",IF(COUNTIF(Atletas!$A$2:$A$302,A20)&gt;0,"Sí","No"))</f>
        <v/>
      </c>
    </row>
    <row r="21">
      <c r="A21" s="17" t="n"/>
      <c r="B21" s="17" t="n"/>
      <c r="C21" s="18" t="n"/>
      <c r="D21" s="19" t="n"/>
      <c r="E21" s="17" t="n"/>
      <c r="F21" s="21">
        <f>IF(OR(B21="",C21=""),"",IFERROR(INT(ROUND(IFERROR(TIMEVALUE(IF(LEN(C21)-LEN(SUBSTITUTE(C21,":",""))=2,"","0:")&amp;C21)*86400,"")/VALUE(SUBSTITUTE(B21,"K","")),0)/60)&amp;":"&amp;TEXT(MOD(ROUND(IFERROR(TIMEVALUE(IF(LEN(C21)-LEN(SUBSTITUTE(C21,":",""))=2,"","0:")&amp;C21)*86400,"")/VALUE(SUBSTITUTE(B21,"K","")),0),60),"00"),""))</f>
        <v/>
      </c>
      <c r="G21" s="21">
        <f>IF(A21="","",IF(COUNTIF(Atletas!$A$2:$A$302,A21)&gt;0,"Sí","No"))</f>
        <v/>
      </c>
    </row>
    <row r="22">
      <c r="A22" s="17" t="n"/>
      <c r="B22" s="17" t="n"/>
      <c r="C22" s="18" t="n"/>
      <c r="D22" s="19" t="n"/>
      <c r="E22" s="17" t="n"/>
      <c r="F22" s="21">
        <f>IF(OR(B22="",C22=""),"",IFERROR(INT(ROUND(IFERROR(TIMEVALUE(IF(LEN(C22)-LEN(SUBSTITUTE(C22,":",""))=2,"","0:")&amp;C22)*86400,"")/VALUE(SUBSTITUTE(B22,"K","")),0)/60)&amp;":"&amp;TEXT(MOD(ROUND(IFERROR(TIMEVALUE(IF(LEN(C22)-LEN(SUBSTITUTE(C22,":",""))=2,"","0:")&amp;C22)*86400,"")/VALUE(SUBSTITUTE(B22,"K","")),0),60),"00"),""))</f>
        <v/>
      </c>
      <c r="G22" s="21">
        <f>IF(A22="","",IF(COUNTIF(Atletas!$A$2:$A$302,A22)&gt;0,"Sí","No"))</f>
        <v/>
      </c>
    </row>
    <row r="23">
      <c r="A23" s="17" t="n"/>
      <c r="B23" s="17" t="n"/>
      <c r="C23" s="18" t="n"/>
      <c r="D23" s="19" t="n"/>
      <c r="E23" s="17" t="n"/>
      <c r="F23" s="21">
        <f>IF(OR(B23="",C23=""),"",IFERROR(INT(ROUND(IFERROR(TIMEVALUE(IF(LEN(C23)-LEN(SUBSTITUTE(C23,":",""))=2,"","0:")&amp;C23)*86400,"")/VALUE(SUBSTITUTE(B23,"K","")),0)/60)&amp;":"&amp;TEXT(MOD(ROUND(IFERROR(TIMEVALUE(IF(LEN(C23)-LEN(SUBSTITUTE(C23,":",""))=2,"","0:")&amp;C23)*86400,"")/VALUE(SUBSTITUTE(B23,"K","")),0),60),"00"),""))</f>
        <v/>
      </c>
      <c r="G23" s="21">
        <f>IF(A23="","",IF(COUNTIF(Atletas!$A$2:$A$302,A23)&gt;0,"Sí","No"))</f>
        <v/>
      </c>
    </row>
    <row r="24">
      <c r="A24" s="17" t="n"/>
      <c r="B24" s="17" t="n"/>
      <c r="C24" s="18" t="n"/>
      <c r="D24" s="19" t="n"/>
      <c r="E24" s="17" t="n"/>
      <c r="F24" s="21">
        <f>IF(OR(B24="",C24=""),"",IFERROR(INT(ROUND(IFERROR(TIMEVALUE(IF(LEN(C24)-LEN(SUBSTITUTE(C24,":",""))=2,"","0:")&amp;C24)*86400,"")/VALUE(SUBSTITUTE(B24,"K","")),0)/60)&amp;":"&amp;TEXT(MOD(ROUND(IFERROR(TIMEVALUE(IF(LEN(C24)-LEN(SUBSTITUTE(C24,":",""))=2,"","0:")&amp;C24)*86400,"")/VALUE(SUBSTITUTE(B24,"K","")),0),60),"00"),""))</f>
        <v/>
      </c>
      <c r="G24" s="21">
        <f>IF(A24="","",IF(COUNTIF(Atletas!$A$2:$A$302,A24)&gt;0,"Sí","No"))</f>
        <v/>
      </c>
    </row>
    <row r="25">
      <c r="A25" s="17" t="n"/>
      <c r="B25" s="17" t="n"/>
      <c r="C25" s="18" t="n"/>
      <c r="D25" s="19" t="n"/>
      <c r="E25" s="17" t="n"/>
      <c r="F25" s="21">
        <f>IF(OR(B25="",C25=""),"",IFERROR(INT(ROUND(IFERROR(TIMEVALUE(IF(LEN(C25)-LEN(SUBSTITUTE(C25,":",""))=2,"","0:")&amp;C25)*86400,"")/VALUE(SUBSTITUTE(B25,"K","")),0)/60)&amp;":"&amp;TEXT(MOD(ROUND(IFERROR(TIMEVALUE(IF(LEN(C25)-LEN(SUBSTITUTE(C25,":",""))=2,"","0:")&amp;C25)*86400,"")/VALUE(SUBSTITUTE(B25,"K","")),0),60),"00"),""))</f>
        <v/>
      </c>
      <c r="G25" s="21">
        <f>IF(A25="","",IF(COUNTIF(Atletas!$A$2:$A$302,A25)&gt;0,"Sí","No"))</f>
        <v/>
      </c>
    </row>
    <row r="26">
      <c r="A26" s="17" t="n"/>
      <c r="B26" s="17" t="n"/>
      <c r="C26" s="18" t="n"/>
      <c r="D26" s="19" t="n"/>
      <c r="E26" s="17" t="n"/>
      <c r="F26" s="21">
        <f>IF(OR(B26="",C26=""),"",IFERROR(INT(ROUND(IFERROR(TIMEVALUE(IF(LEN(C26)-LEN(SUBSTITUTE(C26,":",""))=2,"","0:")&amp;C26)*86400,"")/VALUE(SUBSTITUTE(B26,"K","")),0)/60)&amp;":"&amp;TEXT(MOD(ROUND(IFERROR(TIMEVALUE(IF(LEN(C26)-LEN(SUBSTITUTE(C26,":",""))=2,"","0:")&amp;C26)*86400,"")/VALUE(SUBSTITUTE(B26,"K","")),0),60),"00"),""))</f>
        <v/>
      </c>
      <c r="G26" s="21">
        <f>IF(A26="","",IF(COUNTIF(Atletas!$A$2:$A$302,A26)&gt;0,"Sí","No"))</f>
        <v/>
      </c>
    </row>
    <row r="27">
      <c r="A27" s="17" t="n"/>
      <c r="B27" s="17" t="n"/>
      <c r="C27" s="18" t="n"/>
      <c r="D27" s="19" t="n"/>
      <c r="E27" s="17" t="n"/>
      <c r="F27" s="21">
        <f>IF(OR(B27="",C27=""),"",IFERROR(INT(ROUND(IFERROR(TIMEVALUE(IF(LEN(C27)-LEN(SUBSTITUTE(C27,":",""))=2,"","0:")&amp;C27)*86400,"")/VALUE(SUBSTITUTE(B27,"K","")),0)/60)&amp;":"&amp;TEXT(MOD(ROUND(IFERROR(TIMEVALUE(IF(LEN(C27)-LEN(SUBSTITUTE(C27,":",""))=2,"","0:")&amp;C27)*86400,"")/VALUE(SUBSTITUTE(B27,"K","")),0),60),"00"),""))</f>
        <v/>
      </c>
      <c r="G27" s="21">
        <f>IF(A27="","",IF(COUNTIF(Atletas!$A$2:$A$302,A27)&gt;0,"Sí","No"))</f>
        <v/>
      </c>
    </row>
    <row r="28">
      <c r="A28" s="17" t="n"/>
      <c r="B28" s="17" t="n"/>
      <c r="C28" s="18" t="n"/>
      <c r="D28" s="19" t="n"/>
      <c r="E28" s="17" t="n"/>
      <c r="F28" s="21">
        <f>IF(OR(B28="",C28=""),"",IFERROR(INT(ROUND(IFERROR(TIMEVALUE(IF(LEN(C28)-LEN(SUBSTITUTE(C28,":",""))=2,"","0:")&amp;C28)*86400,"")/VALUE(SUBSTITUTE(B28,"K","")),0)/60)&amp;":"&amp;TEXT(MOD(ROUND(IFERROR(TIMEVALUE(IF(LEN(C28)-LEN(SUBSTITUTE(C28,":",""))=2,"","0:")&amp;C28)*86400,"")/VALUE(SUBSTITUTE(B28,"K","")),0),60),"00"),""))</f>
        <v/>
      </c>
      <c r="G28" s="21">
        <f>IF(A28="","",IF(COUNTIF(Atletas!$A$2:$A$302,A28)&gt;0,"Sí","No"))</f>
        <v/>
      </c>
    </row>
    <row r="29">
      <c r="A29" s="17" t="n"/>
      <c r="B29" s="17" t="n"/>
      <c r="C29" s="18" t="n"/>
      <c r="D29" s="19" t="n"/>
      <c r="E29" s="17" t="n"/>
      <c r="F29" s="21">
        <f>IF(OR(B29="",C29=""),"",IFERROR(INT(ROUND(IFERROR(TIMEVALUE(IF(LEN(C29)-LEN(SUBSTITUTE(C29,":",""))=2,"","0:")&amp;C29)*86400,"")/VALUE(SUBSTITUTE(B29,"K","")),0)/60)&amp;":"&amp;TEXT(MOD(ROUND(IFERROR(TIMEVALUE(IF(LEN(C29)-LEN(SUBSTITUTE(C29,":",""))=2,"","0:")&amp;C29)*86400,"")/VALUE(SUBSTITUTE(B29,"K","")),0),60),"00"),""))</f>
        <v/>
      </c>
      <c r="G29" s="21">
        <f>IF(A29="","",IF(COUNTIF(Atletas!$A$2:$A$302,A29)&gt;0,"Sí","No"))</f>
        <v/>
      </c>
    </row>
    <row r="30">
      <c r="A30" s="17" t="n"/>
      <c r="B30" s="17" t="n"/>
      <c r="C30" s="18" t="n"/>
      <c r="D30" s="19" t="n"/>
      <c r="E30" s="17" t="n"/>
      <c r="F30" s="21">
        <f>IF(OR(B30="",C30=""),"",IFERROR(INT(ROUND(IFERROR(TIMEVALUE(IF(LEN(C30)-LEN(SUBSTITUTE(C30,":",""))=2,"","0:")&amp;C30)*86400,"")/VALUE(SUBSTITUTE(B30,"K","")),0)/60)&amp;":"&amp;TEXT(MOD(ROUND(IFERROR(TIMEVALUE(IF(LEN(C30)-LEN(SUBSTITUTE(C30,":",""))=2,"","0:")&amp;C30)*86400,"")/VALUE(SUBSTITUTE(B30,"K","")),0),60),"00"),""))</f>
        <v/>
      </c>
      <c r="G30" s="21">
        <f>IF(A30="","",IF(COUNTIF(Atletas!$A$2:$A$302,A30)&gt;0,"Sí","No"))</f>
        <v/>
      </c>
    </row>
    <row r="31">
      <c r="A31" s="17" t="n"/>
      <c r="B31" s="17" t="n"/>
      <c r="C31" s="18" t="n"/>
      <c r="D31" s="19" t="n"/>
      <c r="E31" s="17" t="n"/>
      <c r="F31" s="21">
        <f>IF(OR(B31="",C31=""),"",IFERROR(INT(ROUND(IFERROR(TIMEVALUE(IF(LEN(C31)-LEN(SUBSTITUTE(C31,":",""))=2,"","0:")&amp;C31)*86400,"")/VALUE(SUBSTITUTE(B31,"K","")),0)/60)&amp;":"&amp;TEXT(MOD(ROUND(IFERROR(TIMEVALUE(IF(LEN(C31)-LEN(SUBSTITUTE(C31,":",""))=2,"","0:")&amp;C31)*86400,"")/VALUE(SUBSTITUTE(B31,"K","")),0),60),"00"),""))</f>
        <v/>
      </c>
      <c r="G31" s="21">
        <f>IF(A31="","",IF(COUNTIF(Atletas!$A$2:$A$302,A31)&gt;0,"Sí","No"))</f>
        <v/>
      </c>
    </row>
    <row r="32">
      <c r="A32" s="17" t="n"/>
      <c r="B32" s="17" t="n"/>
      <c r="C32" s="18" t="n"/>
      <c r="D32" s="19" t="n"/>
      <c r="E32" s="17" t="n"/>
      <c r="F32" s="21">
        <f>IF(OR(B32="",C32=""),"",IFERROR(INT(ROUND(IFERROR(TIMEVALUE(IF(LEN(C32)-LEN(SUBSTITUTE(C32,":",""))=2,"","0:")&amp;C32)*86400,"")/VALUE(SUBSTITUTE(B32,"K","")),0)/60)&amp;":"&amp;TEXT(MOD(ROUND(IFERROR(TIMEVALUE(IF(LEN(C32)-LEN(SUBSTITUTE(C32,":",""))=2,"","0:")&amp;C32)*86400,"")/VALUE(SUBSTITUTE(B32,"K","")),0),60),"00"),""))</f>
        <v/>
      </c>
      <c r="G32" s="21">
        <f>IF(A32="","",IF(COUNTIF(Atletas!$A$2:$A$302,A32)&gt;0,"Sí","No"))</f>
        <v/>
      </c>
    </row>
    <row r="33">
      <c r="A33" s="17" t="n"/>
      <c r="B33" s="17" t="n"/>
      <c r="C33" s="18" t="n"/>
      <c r="D33" s="19" t="n"/>
      <c r="E33" s="17" t="n"/>
      <c r="F33" s="21">
        <f>IF(OR(B33="",C33=""),"",IFERROR(INT(ROUND(IFERROR(TIMEVALUE(IF(LEN(C33)-LEN(SUBSTITUTE(C33,":",""))=2,"","0:")&amp;C33)*86400,"")/VALUE(SUBSTITUTE(B33,"K","")),0)/60)&amp;":"&amp;TEXT(MOD(ROUND(IFERROR(TIMEVALUE(IF(LEN(C33)-LEN(SUBSTITUTE(C33,":",""))=2,"","0:")&amp;C33)*86400,"")/VALUE(SUBSTITUTE(B33,"K","")),0),60),"00"),""))</f>
        <v/>
      </c>
      <c r="G33" s="21">
        <f>IF(A33="","",IF(COUNTIF(Atletas!$A$2:$A$302,A33)&gt;0,"Sí","No"))</f>
        <v/>
      </c>
    </row>
    <row r="34">
      <c r="A34" s="17" t="n"/>
      <c r="B34" s="17" t="n"/>
      <c r="C34" s="18" t="n"/>
      <c r="D34" s="19" t="n"/>
      <c r="E34" s="17" t="n"/>
      <c r="F34" s="21">
        <f>IF(OR(B34="",C34=""),"",IFERROR(INT(ROUND(IFERROR(TIMEVALUE(IF(LEN(C34)-LEN(SUBSTITUTE(C34,":",""))=2,"","0:")&amp;C34)*86400,"")/VALUE(SUBSTITUTE(B34,"K","")),0)/60)&amp;":"&amp;TEXT(MOD(ROUND(IFERROR(TIMEVALUE(IF(LEN(C34)-LEN(SUBSTITUTE(C34,":",""))=2,"","0:")&amp;C34)*86400,"")/VALUE(SUBSTITUTE(B34,"K","")),0),60),"00"),""))</f>
        <v/>
      </c>
      <c r="G34" s="21">
        <f>IF(A34="","",IF(COUNTIF(Atletas!$A$2:$A$302,A34)&gt;0,"Sí","No"))</f>
        <v/>
      </c>
    </row>
    <row r="35">
      <c r="A35" s="17" t="n"/>
      <c r="B35" s="17" t="n"/>
      <c r="C35" s="18" t="n"/>
      <c r="D35" s="19" t="n"/>
      <c r="E35" s="17" t="n"/>
      <c r="F35" s="21">
        <f>IF(OR(B35="",C35=""),"",IFERROR(INT(ROUND(IFERROR(TIMEVALUE(IF(LEN(C35)-LEN(SUBSTITUTE(C35,":",""))=2,"","0:")&amp;C35)*86400,"")/VALUE(SUBSTITUTE(B35,"K","")),0)/60)&amp;":"&amp;TEXT(MOD(ROUND(IFERROR(TIMEVALUE(IF(LEN(C35)-LEN(SUBSTITUTE(C35,":",""))=2,"","0:")&amp;C35)*86400,"")/VALUE(SUBSTITUTE(B35,"K","")),0),60),"00"),""))</f>
        <v/>
      </c>
      <c r="G35" s="21">
        <f>IF(A35="","",IF(COUNTIF(Atletas!$A$2:$A$302,A35)&gt;0,"Sí","No"))</f>
        <v/>
      </c>
    </row>
    <row r="36">
      <c r="A36" s="17" t="n"/>
      <c r="B36" s="17" t="n"/>
      <c r="C36" s="18" t="n"/>
      <c r="D36" s="19" t="n"/>
      <c r="E36" s="17" t="n"/>
      <c r="F36" s="21">
        <f>IF(OR(B36="",C36=""),"",IFERROR(INT(ROUND(IFERROR(TIMEVALUE(IF(LEN(C36)-LEN(SUBSTITUTE(C36,":",""))=2,"","0:")&amp;C36)*86400,"")/VALUE(SUBSTITUTE(B36,"K","")),0)/60)&amp;":"&amp;TEXT(MOD(ROUND(IFERROR(TIMEVALUE(IF(LEN(C36)-LEN(SUBSTITUTE(C36,":",""))=2,"","0:")&amp;C36)*86400,"")/VALUE(SUBSTITUTE(B36,"K","")),0),60),"00"),""))</f>
        <v/>
      </c>
      <c r="G36" s="21">
        <f>IF(A36="","",IF(COUNTIF(Atletas!$A$2:$A$302,A36)&gt;0,"Sí","No"))</f>
        <v/>
      </c>
    </row>
    <row r="37">
      <c r="A37" s="17" t="n"/>
      <c r="B37" s="17" t="n"/>
      <c r="C37" s="18" t="n"/>
      <c r="D37" s="19" t="n"/>
      <c r="E37" s="17" t="n"/>
      <c r="F37" s="21">
        <f>IF(OR(B37="",C37=""),"",IFERROR(INT(ROUND(IFERROR(TIMEVALUE(IF(LEN(C37)-LEN(SUBSTITUTE(C37,":",""))=2,"","0:")&amp;C37)*86400,"")/VALUE(SUBSTITUTE(B37,"K","")),0)/60)&amp;":"&amp;TEXT(MOD(ROUND(IFERROR(TIMEVALUE(IF(LEN(C37)-LEN(SUBSTITUTE(C37,":",""))=2,"","0:")&amp;C37)*86400,"")/VALUE(SUBSTITUTE(B37,"K","")),0),60),"00"),""))</f>
        <v/>
      </c>
      <c r="G37" s="21">
        <f>IF(A37="","",IF(COUNTIF(Atletas!$A$2:$A$302,A37)&gt;0,"Sí","No"))</f>
        <v/>
      </c>
    </row>
    <row r="38">
      <c r="A38" s="17" t="n"/>
      <c r="B38" s="17" t="n"/>
      <c r="C38" s="18" t="n"/>
      <c r="D38" s="19" t="n"/>
      <c r="E38" s="17" t="n"/>
      <c r="F38" s="21">
        <f>IF(OR(B38="",C38=""),"",IFERROR(INT(ROUND(IFERROR(TIMEVALUE(IF(LEN(C38)-LEN(SUBSTITUTE(C38,":",""))=2,"","0:")&amp;C38)*86400,"")/VALUE(SUBSTITUTE(B38,"K","")),0)/60)&amp;":"&amp;TEXT(MOD(ROUND(IFERROR(TIMEVALUE(IF(LEN(C38)-LEN(SUBSTITUTE(C38,":",""))=2,"","0:")&amp;C38)*86400,"")/VALUE(SUBSTITUTE(B38,"K","")),0),60),"00"),""))</f>
        <v/>
      </c>
      <c r="G38" s="21">
        <f>IF(A38="","",IF(COUNTIF(Atletas!$A$2:$A$302,A38)&gt;0,"Sí","No"))</f>
        <v/>
      </c>
    </row>
    <row r="39">
      <c r="A39" s="17" t="n"/>
      <c r="B39" s="17" t="n"/>
      <c r="C39" s="18" t="n"/>
      <c r="D39" s="19" t="n"/>
      <c r="E39" s="17" t="n"/>
      <c r="F39" s="21">
        <f>IF(OR(B39="",C39=""),"",IFERROR(INT(ROUND(IFERROR(TIMEVALUE(IF(LEN(C39)-LEN(SUBSTITUTE(C39,":",""))=2,"","0:")&amp;C39)*86400,"")/VALUE(SUBSTITUTE(B39,"K","")),0)/60)&amp;":"&amp;TEXT(MOD(ROUND(IFERROR(TIMEVALUE(IF(LEN(C39)-LEN(SUBSTITUTE(C39,":",""))=2,"","0:")&amp;C39)*86400,"")/VALUE(SUBSTITUTE(B39,"K","")),0),60),"00"),""))</f>
        <v/>
      </c>
      <c r="G39" s="21">
        <f>IF(A39="","",IF(COUNTIF(Atletas!$A$2:$A$302,A39)&gt;0,"Sí","No"))</f>
        <v/>
      </c>
    </row>
    <row r="40">
      <c r="A40" s="17" t="n"/>
      <c r="B40" s="17" t="n"/>
      <c r="C40" s="18" t="n"/>
      <c r="D40" s="19" t="n"/>
      <c r="E40" s="17" t="n"/>
      <c r="F40" s="21">
        <f>IF(OR(B40="",C40=""),"",IFERROR(INT(ROUND(IFERROR(TIMEVALUE(IF(LEN(C40)-LEN(SUBSTITUTE(C40,":",""))=2,"","0:")&amp;C40)*86400,"")/VALUE(SUBSTITUTE(B40,"K","")),0)/60)&amp;":"&amp;TEXT(MOD(ROUND(IFERROR(TIMEVALUE(IF(LEN(C40)-LEN(SUBSTITUTE(C40,":",""))=2,"","0:")&amp;C40)*86400,"")/VALUE(SUBSTITUTE(B40,"K","")),0),60),"00"),""))</f>
        <v/>
      </c>
      <c r="G40" s="21">
        <f>IF(A40="","",IF(COUNTIF(Atletas!$A$2:$A$302,A40)&gt;0,"Sí","No"))</f>
        <v/>
      </c>
    </row>
    <row r="41">
      <c r="A41" s="17" t="n"/>
      <c r="B41" s="17" t="n"/>
      <c r="C41" s="18" t="n"/>
      <c r="D41" s="19" t="n"/>
      <c r="E41" s="17" t="n"/>
      <c r="F41" s="21">
        <f>IF(OR(B41="",C41=""),"",IFERROR(INT(ROUND(IFERROR(TIMEVALUE(IF(LEN(C41)-LEN(SUBSTITUTE(C41,":",""))=2,"","0:")&amp;C41)*86400,"")/VALUE(SUBSTITUTE(B41,"K","")),0)/60)&amp;":"&amp;TEXT(MOD(ROUND(IFERROR(TIMEVALUE(IF(LEN(C41)-LEN(SUBSTITUTE(C41,":",""))=2,"","0:")&amp;C41)*86400,"")/VALUE(SUBSTITUTE(B41,"K","")),0),60),"00"),""))</f>
        <v/>
      </c>
      <c r="G41" s="21">
        <f>IF(A41="","",IF(COUNTIF(Atletas!$A$2:$A$302,A41)&gt;0,"Sí","No"))</f>
        <v/>
      </c>
    </row>
    <row r="42">
      <c r="A42" s="17" t="n"/>
      <c r="B42" s="17" t="n"/>
      <c r="C42" s="18" t="n"/>
      <c r="D42" s="19" t="n"/>
      <c r="E42" s="17" t="n"/>
      <c r="F42" s="21">
        <f>IF(OR(B42="",C42=""),"",IFERROR(INT(ROUND(IFERROR(TIMEVALUE(IF(LEN(C42)-LEN(SUBSTITUTE(C42,":",""))=2,"","0:")&amp;C42)*86400,"")/VALUE(SUBSTITUTE(B42,"K","")),0)/60)&amp;":"&amp;TEXT(MOD(ROUND(IFERROR(TIMEVALUE(IF(LEN(C42)-LEN(SUBSTITUTE(C42,":",""))=2,"","0:")&amp;C42)*86400,"")/VALUE(SUBSTITUTE(B42,"K","")),0),60),"00"),""))</f>
        <v/>
      </c>
      <c r="G42" s="21">
        <f>IF(A42="","",IF(COUNTIF(Atletas!$A$2:$A$302,A42)&gt;0,"Sí","No"))</f>
        <v/>
      </c>
    </row>
    <row r="43">
      <c r="A43" s="17" t="n"/>
      <c r="B43" s="17" t="n"/>
      <c r="C43" s="18" t="n"/>
      <c r="D43" s="19" t="n"/>
      <c r="E43" s="17" t="n"/>
      <c r="F43" s="21">
        <f>IF(OR(B43="",C43=""),"",IFERROR(INT(ROUND(IFERROR(TIMEVALUE(IF(LEN(C43)-LEN(SUBSTITUTE(C43,":",""))=2,"","0:")&amp;C43)*86400,"")/VALUE(SUBSTITUTE(B43,"K","")),0)/60)&amp;":"&amp;TEXT(MOD(ROUND(IFERROR(TIMEVALUE(IF(LEN(C43)-LEN(SUBSTITUTE(C43,":",""))=2,"","0:")&amp;C43)*86400,"")/VALUE(SUBSTITUTE(B43,"K","")),0),60),"00"),""))</f>
        <v/>
      </c>
      <c r="G43" s="21">
        <f>IF(A43="","",IF(COUNTIF(Atletas!$A$2:$A$302,A43)&gt;0,"Sí","No"))</f>
        <v/>
      </c>
    </row>
    <row r="44">
      <c r="A44" s="17" t="n"/>
      <c r="B44" s="17" t="n"/>
      <c r="C44" s="18" t="n"/>
      <c r="D44" s="19" t="n"/>
      <c r="E44" s="17" t="n"/>
      <c r="F44" s="21">
        <f>IF(OR(B44="",C44=""),"",IFERROR(INT(ROUND(IFERROR(TIMEVALUE(IF(LEN(C44)-LEN(SUBSTITUTE(C44,":",""))=2,"","0:")&amp;C44)*86400,"")/VALUE(SUBSTITUTE(B44,"K","")),0)/60)&amp;":"&amp;TEXT(MOD(ROUND(IFERROR(TIMEVALUE(IF(LEN(C44)-LEN(SUBSTITUTE(C44,":",""))=2,"","0:")&amp;C44)*86400,"")/VALUE(SUBSTITUTE(B44,"K","")),0),60),"00"),""))</f>
        <v/>
      </c>
      <c r="G44" s="21">
        <f>IF(A44="","",IF(COUNTIF(Atletas!$A$2:$A$302,A44)&gt;0,"Sí","No"))</f>
        <v/>
      </c>
    </row>
    <row r="45">
      <c r="A45" s="17" t="n"/>
      <c r="B45" s="17" t="n"/>
      <c r="C45" s="18" t="n"/>
      <c r="D45" s="19" t="n"/>
      <c r="E45" s="17" t="n"/>
      <c r="F45" s="21">
        <f>IF(OR(B45="",C45=""),"",IFERROR(INT(ROUND(IFERROR(TIMEVALUE(IF(LEN(C45)-LEN(SUBSTITUTE(C45,":",""))=2,"","0:")&amp;C45)*86400,"")/VALUE(SUBSTITUTE(B45,"K","")),0)/60)&amp;":"&amp;TEXT(MOD(ROUND(IFERROR(TIMEVALUE(IF(LEN(C45)-LEN(SUBSTITUTE(C45,":",""))=2,"","0:")&amp;C45)*86400,"")/VALUE(SUBSTITUTE(B45,"K","")),0),60),"00"),""))</f>
        <v/>
      </c>
      <c r="G45" s="21">
        <f>IF(A45="","",IF(COUNTIF(Atletas!$A$2:$A$302,A45)&gt;0,"Sí","No"))</f>
        <v/>
      </c>
    </row>
    <row r="46">
      <c r="A46" s="17" t="n"/>
      <c r="B46" s="17" t="n"/>
      <c r="C46" s="18" t="n"/>
      <c r="D46" s="19" t="n"/>
      <c r="E46" s="17" t="n"/>
      <c r="F46" s="21">
        <f>IF(OR(B46="",C46=""),"",IFERROR(INT(ROUND(IFERROR(TIMEVALUE(IF(LEN(C46)-LEN(SUBSTITUTE(C46,":",""))=2,"","0:")&amp;C46)*86400,"")/VALUE(SUBSTITUTE(B46,"K","")),0)/60)&amp;":"&amp;TEXT(MOD(ROUND(IFERROR(TIMEVALUE(IF(LEN(C46)-LEN(SUBSTITUTE(C46,":",""))=2,"","0:")&amp;C46)*86400,"")/VALUE(SUBSTITUTE(B46,"K","")),0),60),"00"),""))</f>
        <v/>
      </c>
      <c r="G46" s="21">
        <f>IF(A46="","",IF(COUNTIF(Atletas!$A$2:$A$302,A46)&gt;0,"Sí","No"))</f>
        <v/>
      </c>
    </row>
    <row r="47">
      <c r="A47" s="17" t="n"/>
      <c r="B47" s="17" t="n"/>
      <c r="C47" s="18" t="n"/>
      <c r="D47" s="19" t="n"/>
      <c r="E47" s="17" t="n"/>
      <c r="F47" s="21">
        <f>IF(OR(B47="",C47=""),"",IFERROR(INT(ROUND(IFERROR(TIMEVALUE(IF(LEN(C47)-LEN(SUBSTITUTE(C47,":",""))=2,"","0:")&amp;C47)*86400,"")/VALUE(SUBSTITUTE(B47,"K","")),0)/60)&amp;":"&amp;TEXT(MOD(ROUND(IFERROR(TIMEVALUE(IF(LEN(C47)-LEN(SUBSTITUTE(C47,":",""))=2,"","0:")&amp;C47)*86400,"")/VALUE(SUBSTITUTE(B47,"K","")),0),60),"00"),""))</f>
        <v/>
      </c>
      <c r="G47" s="21">
        <f>IF(A47="","",IF(COUNTIF(Atletas!$A$2:$A$302,A47)&gt;0,"Sí","No"))</f>
        <v/>
      </c>
    </row>
    <row r="48">
      <c r="A48" s="17" t="n"/>
      <c r="B48" s="17" t="n"/>
      <c r="C48" s="18" t="n"/>
      <c r="D48" s="19" t="n"/>
      <c r="E48" s="17" t="n"/>
      <c r="F48" s="21">
        <f>IF(OR(B48="",C48=""),"",IFERROR(INT(ROUND(IFERROR(TIMEVALUE(IF(LEN(C48)-LEN(SUBSTITUTE(C48,":",""))=2,"","0:")&amp;C48)*86400,"")/VALUE(SUBSTITUTE(B48,"K","")),0)/60)&amp;":"&amp;TEXT(MOD(ROUND(IFERROR(TIMEVALUE(IF(LEN(C48)-LEN(SUBSTITUTE(C48,":",""))=2,"","0:")&amp;C48)*86400,"")/VALUE(SUBSTITUTE(B48,"K","")),0),60),"00"),""))</f>
        <v/>
      </c>
      <c r="G48" s="21">
        <f>IF(A48="","",IF(COUNTIF(Atletas!$A$2:$A$302,A48)&gt;0,"Sí","No"))</f>
        <v/>
      </c>
    </row>
    <row r="49">
      <c r="A49" s="17" t="n"/>
      <c r="B49" s="17" t="n"/>
      <c r="C49" s="18" t="n"/>
      <c r="D49" s="19" t="n"/>
      <c r="E49" s="17" t="n"/>
      <c r="F49" s="21">
        <f>IF(OR(B49="",C49=""),"",IFERROR(INT(ROUND(IFERROR(TIMEVALUE(IF(LEN(C49)-LEN(SUBSTITUTE(C49,":",""))=2,"","0:")&amp;C49)*86400,"")/VALUE(SUBSTITUTE(B49,"K","")),0)/60)&amp;":"&amp;TEXT(MOD(ROUND(IFERROR(TIMEVALUE(IF(LEN(C49)-LEN(SUBSTITUTE(C49,":",""))=2,"","0:")&amp;C49)*86400,"")/VALUE(SUBSTITUTE(B49,"K","")),0),60),"00"),""))</f>
        <v/>
      </c>
      <c r="G49" s="21">
        <f>IF(A49="","",IF(COUNTIF(Atletas!$A$2:$A$302,A49)&gt;0,"Sí","No"))</f>
        <v/>
      </c>
    </row>
    <row r="50">
      <c r="A50" s="17" t="n"/>
      <c r="B50" s="17" t="n"/>
      <c r="C50" s="18" t="n"/>
      <c r="D50" s="19" t="n"/>
      <c r="E50" s="17" t="n"/>
      <c r="F50" s="21">
        <f>IF(OR(B50="",C50=""),"",IFERROR(INT(ROUND(IFERROR(TIMEVALUE(IF(LEN(C50)-LEN(SUBSTITUTE(C50,":",""))=2,"","0:")&amp;C50)*86400,"")/VALUE(SUBSTITUTE(B50,"K","")),0)/60)&amp;":"&amp;TEXT(MOD(ROUND(IFERROR(TIMEVALUE(IF(LEN(C50)-LEN(SUBSTITUTE(C50,":",""))=2,"","0:")&amp;C50)*86400,"")/VALUE(SUBSTITUTE(B50,"K","")),0),60),"00"),""))</f>
        <v/>
      </c>
      <c r="G50" s="21">
        <f>IF(A50="","",IF(COUNTIF(Atletas!$A$2:$A$302,A50)&gt;0,"Sí","No"))</f>
        <v/>
      </c>
    </row>
    <row r="51">
      <c r="A51" s="17" t="n"/>
      <c r="B51" s="17" t="n"/>
      <c r="C51" s="18" t="n"/>
      <c r="D51" s="19" t="n"/>
      <c r="E51" s="17" t="n"/>
      <c r="F51" s="21">
        <f>IF(OR(B51="",C51=""),"",IFERROR(INT(ROUND(IFERROR(TIMEVALUE(IF(LEN(C51)-LEN(SUBSTITUTE(C51,":",""))=2,"","0:")&amp;C51)*86400,"")/VALUE(SUBSTITUTE(B51,"K","")),0)/60)&amp;":"&amp;TEXT(MOD(ROUND(IFERROR(TIMEVALUE(IF(LEN(C51)-LEN(SUBSTITUTE(C51,":",""))=2,"","0:")&amp;C51)*86400,"")/VALUE(SUBSTITUTE(B51,"K","")),0),60),"00"),""))</f>
        <v/>
      </c>
      <c r="G51" s="21">
        <f>IF(A51="","",IF(COUNTIF(Atletas!$A$2:$A$302,A51)&gt;0,"Sí","No"))</f>
        <v/>
      </c>
    </row>
    <row r="52">
      <c r="A52" s="17" t="n"/>
      <c r="B52" s="17" t="n"/>
      <c r="C52" s="18" t="n"/>
      <c r="D52" s="19" t="n"/>
      <c r="E52" s="17" t="n"/>
      <c r="F52" s="21">
        <f>IF(OR(B52="",C52=""),"",IFERROR(INT(ROUND(IFERROR(TIMEVALUE(IF(LEN(C52)-LEN(SUBSTITUTE(C52,":",""))=2,"","0:")&amp;C52)*86400,"")/VALUE(SUBSTITUTE(B52,"K","")),0)/60)&amp;":"&amp;TEXT(MOD(ROUND(IFERROR(TIMEVALUE(IF(LEN(C52)-LEN(SUBSTITUTE(C52,":",""))=2,"","0:")&amp;C52)*86400,"")/VALUE(SUBSTITUTE(B52,"K","")),0),60),"00"),""))</f>
        <v/>
      </c>
      <c r="G52" s="21">
        <f>IF(A52="","",IF(COUNTIF(Atletas!$A$2:$A$302,A52)&gt;0,"Sí","No"))</f>
        <v/>
      </c>
    </row>
    <row r="53">
      <c r="A53" s="17" t="n"/>
      <c r="B53" s="17" t="n"/>
      <c r="C53" s="18" t="n"/>
      <c r="D53" s="19" t="n"/>
      <c r="E53" s="17" t="n"/>
      <c r="F53" s="21">
        <f>IF(OR(B53="",C53=""),"",IFERROR(INT(ROUND(IFERROR(TIMEVALUE(IF(LEN(C53)-LEN(SUBSTITUTE(C53,":",""))=2,"","0:")&amp;C53)*86400,"")/VALUE(SUBSTITUTE(B53,"K","")),0)/60)&amp;":"&amp;TEXT(MOD(ROUND(IFERROR(TIMEVALUE(IF(LEN(C53)-LEN(SUBSTITUTE(C53,":",""))=2,"","0:")&amp;C53)*86400,"")/VALUE(SUBSTITUTE(B53,"K","")),0),60),"00"),""))</f>
        <v/>
      </c>
      <c r="G53" s="21">
        <f>IF(A53="","",IF(COUNTIF(Atletas!$A$2:$A$302,A53)&gt;0,"Sí","No"))</f>
        <v/>
      </c>
    </row>
    <row r="54">
      <c r="A54" s="17" t="n"/>
      <c r="B54" s="17" t="n"/>
      <c r="C54" s="18" t="n"/>
      <c r="D54" s="19" t="n"/>
      <c r="E54" s="17" t="n"/>
      <c r="F54" s="21">
        <f>IF(OR(B54="",C54=""),"",IFERROR(INT(ROUND(IFERROR(TIMEVALUE(IF(LEN(C54)-LEN(SUBSTITUTE(C54,":",""))=2,"","0:")&amp;C54)*86400,"")/VALUE(SUBSTITUTE(B54,"K","")),0)/60)&amp;":"&amp;TEXT(MOD(ROUND(IFERROR(TIMEVALUE(IF(LEN(C54)-LEN(SUBSTITUTE(C54,":",""))=2,"","0:")&amp;C54)*86400,"")/VALUE(SUBSTITUTE(B54,"K","")),0),60),"00"),""))</f>
        <v/>
      </c>
      <c r="G54" s="21">
        <f>IF(A54="","",IF(COUNTIF(Atletas!$A$2:$A$302,A54)&gt;0,"Sí","No"))</f>
        <v/>
      </c>
    </row>
    <row r="55">
      <c r="A55" s="17" t="n"/>
      <c r="B55" s="17" t="n"/>
      <c r="C55" s="18" t="n"/>
      <c r="D55" s="19" t="n"/>
      <c r="E55" s="17" t="n"/>
      <c r="F55" s="21">
        <f>IF(OR(B55="",C55=""),"",IFERROR(INT(ROUND(IFERROR(TIMEVALUE(IF(LEN(C55)-LEN(SUBSTITUTE(C55,":",""))=2,"","0:")&amp;C55)*86400,"")/VALUE(SUBSTITUTE(B55,"K","")),0)/60)&amp;":"&amp;TEXT(MOD(ROUND(IFERROR(TIMEVALUE(IF(LEN(C55)-LEN(SUBSTITUTE(C55,":",""))=2,"","0:")&amp;C55)*86400,"")/VALUE(SUBSTITUTE(B55,"K","")),0),60),"00"),""))</f>
        <v/>
      </c>
      <c r="G55" s="21">
        <f>IF(A55="","",IF(COUNTIF(Atletas!$A$2:$A$302,A55)&gt;0,"Sí","No"))</f>
        <v/>
      </c>
    </row>
    <row r="56">
      <c r="A56" s="17" t="n"/>
      <c r="B56" s="17" t="n"/>
      <c r="C56" s="18" t="n"/>
      <c r="D56" s="19" t="n"/>
      <c r="E56" s="17" t="n"/>
      <c r="F56" s="21">
        <f>IF(OR(B56="",C56=""),"",IFERROR(INT(ROUND(IFERROR(TIMEVALUE(IF(LEN(C56)-LEN(SUBSTITUTE(C56,":",""))=2,"","0:")&amp;C56)*86400,"")/VALUE(SUBSTITUTE(B56,"K","")),0)/60)&amp;":"&amp;TEXT(MOD(ROUND(IFERROR(TIMEVALUE(IF(LEN(C56)-LEN(SUBSTITUTE(C56,":",""))=2,"","0:")&amp;C56)*86400,"")/VALUE(SUBSTITUTE(B56,"K","")),0),60),"00"),""))</f>
        <v/>
      </c>
      <c r="G56" s="21">
        <f>IF(A56="","",IF(COUNTIF(Atletas!$A$2:$A$302,A56)&gt;0,"Sí","No"))</f>
        <v/>
      </c>
    </row>
    <row r="57">
      <c r="A57" s="17" t="n"/>
      <c r="B57" s="17" t="n"/>
      <c r="C57" s="18" t="n"/>
      <c r="D57" s="19" t="n"/>
      <c r="E57" s="17" t="n"/>
      <c r="F57" s="21">
        <f>IF(OR(B57="",C57=""),"",IFERROR(INT(ROUND(IFERROR(TIMEVALUE(IF(LEN(C57)-LEN(SUBSTITUTE(C57,":",""))=2,"","0:")&amp;C57)*86400,"")/VALUE(SUBSTITUTE(B57,"K","")),0)/60)&amp;":"&amp;TEXT(MOD(ROUND(IFERROR(TIMEVALUE(IF(LEN(C57)-LEN(SUBSTITUTE(C57,":",""))=2,"","0:")&amp;C57)*86400,"")/VALUE(SUBSTITUTE(B57,"K","")),0),60),"00"),""))</f>
        <v/>
      </c>
      <c r="G57" s="21">
        <f>IF(A57="","",IF(COUNTIF(Atletas!$A$2:$A$302,A57)&gt;0,"Sí","No"))</f>
        <v/>
      </c>
    </row>
    <row r="58">
      <c r="A58" s="17" t="n"/>
      <c r="B58" s="17" t="n"/>
      <c r="C58" s="18" t="n"/>
      <c r="D58" s="19" t="n"/>
      <c r="E58" s="17" t="n"/>
      <c r="F58" s="21">
        <f>IF(OR(B58="",C58=""),"",IFERROR(INT(ROUND(IFERROR(TIMEVALUE(IF(LEN(C58)-LEN(SUBSTITUTE(C58,":",""))=2,"","0:")&amp;C58)*86400,"")/VALUE(SUBSTITUTE(B58,"K","")),0)/60)&amp;":"&amp;TEXT(MOD(ROUND(IFERROR(TIMEVALUE(IF(LEN(C58)-LEN(SUBSTITUTE(C58,":",""))=2,"","0:")&amp;C58)*86400,"")/VALUE(SUBSTITUTE(B58,"K","")),0),60),"00"),""))</f>
        <v/>
      </c>
      <c r="G58" s="21">
        <f>IF(A58="","",IF(COUNTIF(Atletas!$A$2:$A$302,A58)&gt;0,"Sí","No"))</f>
        <v/>
      </c>
    </row>
    <row r="59">
      <c r="A59" s="17" t="n"/>
      <c r="B59" s="17" t="n"/>
      <c r="C59" s="18" t="n"/>
      <c r="D59" s="19" t="n"/>
      <c r="E59" s="17" t="n"/>
      <c r="F59" s="21">
        <f>IF(OR(B59="",C59=""),"",IFERROR(INT(ROUND(IFERROR(TIMEVALUE(IF(LEN(C59)-LEN(SUBSTITUTE(C59,":",""))=2,"","0:")&amp;C59)*86400,"")/VALUE(SUBSTITUTE(B59,"K","")),0)/60)&amp;":"&amp;TEXT(MOD(ROUND(IFERROR(TIMEVALUE(IF(LEN(C59)-LEN(SUBSTITUTE(C59,":",""))=2,"","0:")&amp;C59)*86400,"")/VALUE(SUBSTITUTE(B59,"K","")),0),60),"00"),""))</f>
        <v/>
      </c>
      <c r="G59" s="21">
        <f>IF(A59="","",IF(COUNTIF(Atletas!$A$2:$A$302,A59)&gt;0,"Sí","No"))</f>
        <v/>
      </c>
    </row>
    <row r="60">
      <c r="A60" s="17" t="n"/>
      <c r="B60" s="17" t="n"/>
      <c r="C60" s="18" t="n"/>
      <c r="D60" s="19" t="n"/>
      <c r="E60" s="17" t="n"/>
      <c r="F60" s="21">
        <f>IF(OR(B60="",C60=""),"",IFERROR(INT(ROUND(IFERROR(TIMEVALUE(IF(LEN(C60)-LEN(SUBSTITUTE(C60,":",""))=2,"","0:")&amp;C60)*86400,"")/VALUE(SUBSTITUTE(B60,"K","")),0)/60)&amp;":"&amp;TEXT(MOD(ROUND(IFERROR(TIMEVALUE(IF(LEN(C60)-LEN(SUBSTITUTE(C60,":",""))=2,"","0:")&amp;C60)*86400,"")/VALUE(SUBSTITUTE(B60,"K","")),0),60),"00"),""))</f>
        <v/>
      </c>
      <c r="G60" s="21">
        <f>IF(A60="","",IF(COUNTIF(Atletas!$A$2:$A$302,A60)&gt;0,"Sí","No"))</f>
        <v/>
      </c>
    </row>
    <row r="61">
      <c r="A61" s="17" t="n"/>
      <c r="B61" s="17" t="n"/>
      <c r="C61" s="18" t="n"/>
      <c r="D61" s="19" t="n"/>
      <c r="E61" s="17" t="n"/>
      <c r="F61" s="21">
        <f>IF(OR(B61="",C61=""),"",IFERROR(INT(ROUND(IFERROR(TIMEVALUE(IF(LEN(C61)-LEN(SUBSTITUTE(C61,":",""))=2,"","0:")&amp;C61)*86400,"")/VALUE(SUBSTITUTE(B61,"K","")),0)/60)&amp;":"&amp;TEXT(MOD(ROUND(IFERROR(TIMEVALUE(IF(LEN(C61)-LEN(SUBSTITUTE(C61,":",""))=2,"","0:")&amp;C61)*86400,"")/VALUE(SUBSTITUTE(B61,"K","")),0),60),"00"),""))</f>
        <v/>
      </c>
      <c r="G61" s="21">
        <f>IF(A61="","",IF(COUNTIF(Atletas!$A$2:$A$302,A61)&gt;0,"Sí","No"))</f>
        <v/>
      </c>
    </row>
    <row r="62">
      <c r="A62" s="17" t="n"/>
      <c r="B62" s="17" t="n"/>
      <c r="C62" s="18" t="n"/>
      <c r="D62" s="19" t="n"/>
      <c r="E62" s="17" t="n"/>
      <c r="F62" s="21">
        <f>IF(OR(B62="",C62=""),"",IFERROR(INT(ROUND(IFERROR(TIMEVALUE(IF(LEN(C62)-LEN(SUBSTITUTE(C62,":",""))=2,"","0:")&amp;C62)*86400,"")/VALUE(SUBSTITUTE(B62,"K","")),0)/60)&amp;":"&amp;TEXT(MOD(ROUND(IFERROR(TIMEVALUE(IF(LEN(C62)-LEN(SUBSTITUTE(C62,":",""))=2,"","0:")&amp;C62)*86400,"")/VALUE(SUBSTITUTE(B62,"K","")),0),60),"00"),""))</f>
        <v/>
      </c>
      <c r="G62" s="21">
        <f>IF(A62="","",IF(COUNTIF(Atletas!$A$2:$A$302,A62)&gt;0,"Sí","No"))</f>
        <v/>
      </c>
    </row>
    <row r="63">
      <c r="A63" s="17" t="n"/>
      <c r="B63" s="17" t="n"/>
      <c r="C63" s="18" t="n"/>
      <c r="D63" s="19" t="n"/>
      <c r="E63" s="17" t="n"/>
      <c r="F63" s="21">
        <f>IF(OR(B63="",C63=""),"",IFERROR(INT(ROUND(IFERROR(TIMEVALUE(IF(LEN(C63)-LEN(SUBSTITUTE(C63,":",""))=2,"","0:")&amp;C63)*86400,"")/VALUE(SUBSTITUTE(B63,"K","")),0)/60)&amp;":"&amp;TEXT(MOD(ROUND(IFERROR(TIMEVALUE(IF(LEN(C63)-LEN(SUBSTITUTE(C63,":",""))=2,"","0:")&amp;C63)*86400,"")/VALUE(SUBSTITUTE(B63,"K","")),0),60),"00"),""))</f>
        <v/>
      </c>
      <c r="G63" s="21">
        <f>IF(A63="","",IF(COUNTIF(Atletas!$A$2:$A$302,A63)&gt;0,"Sí","No"))</f>
        <v/>
      </c>
    </row>
    <row r="64">
      <c r="A64" s="17" t="n"/>
      <c r="B64" s="17" t="n"/>
      <c r="C64" s="18" t="n"/>
      <c r="D64" s="19" t="n"/>
      <c r="E64" s="17" t="n"/>
      <c r="F64" s="21">
        <f>IF(OR(B64="",C64=""),"",IFERROR(INT(ROUND(IFERROR(TIMEVALUE(IF(LEN(C64)-LEN(SUBSTITUTE(C64,":",""))=2,"","0:")&amp;C64)*86400,"")/VALUE(SUBSTITUTE(B64,"K","")),0)/60)&amp;":"&amp;TEXT(MOD(ROUND(IFERROR(TIMEVALUE(IF(LEN(C64)-LEN(SUBSTITUTE(C64,":",""))=2,"","0:")&amp;C64)*86400,"")/VALUE(SUBSTITUTE(B64,"K","")),0),60),"00"),""))</f>
        <v/>
      </c>
      <c r="G64" s="21">
        <f>IF(A64="","",IF(COUNTIF(Atletas!$A$2:$A$302,A64)&gt;0,"Sí","No"))</f>
        <v/>
      </c>
    </row>
    <row r="65">
      <c r="A65" s="17" t="n"/>
      <c r="B65" s="17" t="n"/>
      <c r="C65" s="18" t="n"/>
      <c r="D65" s="19" t="n"/>
      <c r="E65" s="17" t="n"/>
      <c r="F65" s="21">
        <f>IF(OR(B65="",C65=""),"",IFERROR(INT(ROUND(IFERROR(TIMEVALUE(IF(LEN(C65)-LEN(SUBSTITUTE(C65,":",""))=2,"","0:")&amp;C65)*86400,"")/VALUE(SUBSTITUTE(B65,"K","")),0)/60)&amp;":"&amp;TEXT(MOD(ROUND(IFERROR(TIMEVALUE(IF(LEN(C65)-LEN(SUBSTITUTE(C65,":",""))=2,"","0:")&amp;C65)*86400,"")/VALUE(SUBSTITUTE(B65,"K","")),0),60),"00"),""))</f>
        <v/>
      </c>
      <c r="G65" s="21">
        <f>IF(A65="","",IF(COUNTIF(Atletas!$A$2:$A$302,A65)&gt;0,"Sí","No"))</f>
        <v/>
      </c>
    </row>
    <row r="66">
      <c r="A66" s="17" t="n"/>
      <c r="B66" s="17" t="n"/>
      <c r="C66" s="18" t="n"/>
      <c r="D66" s="19" t="n"/>
      <c r="E66" s="17" t="n"/>
      <c r="F66" s="21">
        <f>IF(OR(B66="",C66=""),"",IFERROR(INT(ROUND(IFERROR(TIMEVALUE(IF(LEN(C66)-LEN(SUBSTITUTE(C66,":",""))=2,"","0:")&amp;C66)*86400,"")/VALUE(SUBSTITUTE(B66,"K","")),0)/60)&amp;":"&amp;TEXT(MOD(ROUND(IFERROR(TIMEVALUE(IF(LEN(C66)-LEN(SUBSTITUTE(C66,":",""))=2,"","0:")&amp;C66)*86400,"")/VALUE(SUBSTITUTE(B66,"K","")),0),60),"00"),""))</f>
        <v/>
      </c>
      <c r="G66" s="21">
        <f>IF(A66="","",IF(COUNTIF(Atletas!$A$2:$A$302,A66)&gt;0,"Sí","No"))</f>
        <v/>
      </c>
    </row>
    <row r="67">
      <c r="A67" s="17" t="n"/>
      <c r="B67" s="17" t="n"/>
      <c r="C67" s="18" t="n"/>
      <c r="D67" s="19" t="n"/>
      <c r="E67" s="17" t="n"/>
      <c r="F67" s="21">
        <f>IF(OR(B67="",C67=""),"",IFERROR(INT(ROUND(IFERROR(TIMEVALUE(IF(LEN(C67)-LEN(SUBSTITUTE(C67,":",""))=2,"","0:")&amp;C67)*86400,"")/VALUE(SUBSTITUTE(B67,"K","")),0)/60)&amp;":"&amp;TEXT(MOD(ROUND(IFERROR(TIMEVALUE(IF(LEN(C67)-LEN(SUBSTITUTE(C67,":",""))=2,"","0:")&amp;C67)*86400,"")/VALUE(SUBSTITUTE(B67,"K","")),0),60),"00"),""))</f>
        <v/>
      </c>
      <c r="G67" s="21">
        <f>IF(A67="","",IF(COUNTIF(Atletas!$A$2:$A$302,A67)&gt;0,"Sí","No"))</f>
        <v/>
      </c>
    </row>
    <row r="68">
      <c r="A68" s="17" t="n"/>
      <c r="B68" s="17" t="n"/>
      <c r="C68" s="18" t="n"/>
      <c r="D68" s="19" t="n"/>
      <c r="E68" s="17" t="n"/>
      <c r="F68" s="21">
        <f>IF(OR(B68="",C68=""),"",IFERROR(INT(ROUND(IFERROR(TIMEVALUE(IF(LEN(C68)-LEN(SUBSTITUTE(C68,":",""))=2,"","0:")&amp;C68)*86400,"")/VALUE(SUBSTITUTE(B68,"K","")),0)/60)&amp;":"&amp;TEXT(MOD(ROUND(IFERROR(TIMEVALUE(IF(LEN(C68)-LEN(SUBSTITUTE(C68,":",""))=2,"","0:")&amp;C68)*86400,"")/VALUE(SUBSTITUTE(B68,"K","")),0),60),"00"),""))</f>
        <v/>
      </c>
      <c r="G68" s="21">
        <f>IF(A68="","",IF(COUNTIF(Atletas!$A$2:$A$302,A68)&gt;0,"Sí","No"))</f>
        <v/>
      </c>
    </row>
    <row r="69">
      <c r="A69" s="17" t="n"/>
      <c r="B69" s="17" t="n"/>
      <c r="C69" s="18" t="n"/>
      <c r="D69" s="19" t="n"/>
      <c r="E69" s="17" t="n"/>
      <c r="F69" s="21">
        <f>IF(OR(B69="",C69=""),"",IFERROR(INT(ROUND(IFERROR(TIMEVALUE(IF(LEN(C69)-LEN(SUBSTITUTE(C69,":",""))=2,"","0:")&amp;C69)*86400,"")/VALUE(SUBSTITUTE(B69,"K","")),0)/60)&amp;":"&amp;TEXT(MOD(ROUND(IFERROR(TIMEVALUE(IF(LEN(C69)-LEN(SUBSTITUTE(C69,":",""))=2,"","0:")&amp;C69)*86400,"")/VALUE(SUBSTITUTE(B69,"K","")),0),60),"00"),""))</f>
        <v/>
      </c>
      <c r="G69" s="21">
        <f>IF(A69="","",IF(COUNTIF(Atletas!$A$2:$A$302,A69)&gt;0,"Sí","No"))</f>
        <v/>
      </c>
    </row>
    <row r="70">
      <c r="A70" s="17" t="n"/>
      <c r="B70" s="17" t="n"/>
      <c r="C70" s="18" t="n"/>
      <c r="D70" s="19" t="n"/>
      <c r="E70" s="17" t="n"/>
      <c r="F70" s="21">
        <f>IF(OR(B70="",C70=""),"",IFERROR(INT(ROUND(IFERROR(TIMEVALUE(IF(LEN(C70)-LEN(SUBSTITUTE(C70,":",""))=2,"","0:")&amp;C70)*86400,"")/VALUE(SUBSTITUTE(B70,"K","")),0)/60)&amp;":"&amp;TEXT(MOD(ROUND(IFERROR(TIMEVALUE(IF(LEN(C70)-LEN(SUBSTITUTE(C70,":",""))=2,"","0:")&amp;C70)*86400,"")/VALUE(SUBSTITUTE(B70,"K","")),0),60),"00"),""))</f>
        <v/>
      </c>
      <c r="G70" s="21">
        <f>IF(A70="","",IF(COUNTIF(Atletas!$A$2:$A$302,A70)&gt;0,"Sí","No"))</f>
        <v/>
      </c>
    </row>
    <row r="71">
      <c r="A71" s="17" t="n"/>
      <c r="B71" s="17" t="n"/>
      <c r="C71" s="18" t="n"/>
      <c r="D71" s="19" t="n"/>
      <c r="E71" s="17" t="n"/>
      <c r="F71" s="21">
        <f>IF(OR(B71="",C71=""),"",IFERROR(INT(ROUND(IFERROR(TIMEVALUE(IF(LEN(C71)-LEN(SUBSTITUTE(C71,":",""))=2,"","0:")&amp;C71)*86400,"")/VALUE(SUBSTITUTE(B71,"K","")),0)/60)&amp;":"&amp;TEXT(MOD(ROUND(IFERROR(TIMEVALUE(IF(LEN(C71)-LEN(SUBSTITUTE(C71,":",""))=2,"","0:")&amp;C71)*86400,"")/VALUE(SUBSTITUTE(B71,"K","")),0),60),"00"),""))</f>
        <v/>
      </c>
      <c r="G71" s="21">
        <f>IF(A71="","",IF(COUNTIF(Atletas!$A$2:$A$302,A71)&gt;0,"Sí","No"))</f>
        <v/>
      </c>
    </row>
    <row r="72">
      <c r="A72" s="17" t="n"/>
      <c r="B72" s="17" t="n"/>
      <c r="C72" s="18" t="n"/>
      <c r="D72" s="19" t="n"/>
      <c r="E72" s="17" t="n"/>
      <c r="F72" s="21">
        <f>IF(OR(B72="",C72=""),"",IFERROR(INT(ROUND(IFERROR(TIMEVALUE(IF(LEN(C72)-LEN(SUBSTITUTE(C72,":",""))=2,"","0:")&amp;C72)*86400,"")/VALUE(SUBSTITUTE(B72,"K","")),0)/60)&amp;":"&amp;TEXT(MOD(ROUND(IFERROR(TIMEVALUE(IF(LEN(C72)-LEN(SUBSTITUTE(C72,":",""))=2,"","0:")&amp;C72)*86400,"")/VALUE(SUBSTITUTE(B72,"K","")),0),60),"00"),""))</f>
        <v/>
      </c>
      <c r="G72" s="21">
        <f>IF(A72="","",IF(COUNTIF(Atletas!$A$2:$A$302,A72)&gt;0,"Sí","No"))</f>
        <v/>
      </c>
    </row>
    <row r="73">
      <c r="A73" s="17" t="n"/>
      <c r="B73" s="17" t="n"/>
      <c r="C73" s="18" t="n"/>
      <c r="D73" s="19" t="n"/>
      <c r="E73" s="17" t="n"/>
      <c r="F73" s="21">
        <f>IF(OR(B73="",C73=""),"",IFERROR(INT(ROUND(IFERROR(TIMEVALUE(IF(LEN(C73)-LEN(SUBSTITUTE(C73,":",""))=2,"","0:")&amp;C73)*86400,"")/VALUE(SUBSTITUTE(B73,"K","")),0)/60)&amp;":"&amp;TEXT(MOD(ROUND(IFERROR(TIMEVALUE(IF(LEN(C73)-LEN(SUBSTITUTE(C73,":",""))=2,"","0:")&amp;C73)*86400,"")/VALUE(SUBSTITUTE(B73,"K","")),0),60),"00"),""))</f>
        <v/>
      </c>
      <c r="G73" s="21">
        <f>IF(A73="","",IF(COUNTIF(Atletas!$A$2:$A$302,A73)&gt;0,"Sí","No"))</f>
        <v/>
      </c>
    </row>
    <row r="74">
      <c r="A74" s="17" t="n"/>
      <c r="B74" s="17" t="n"/>
      <c r="C74" s="18" t="n"/>
      <c r="D74" s="19" t="n"/>
      <c r="E74" s="17" t="n"/>
      <c r="F74" s="21">
        <f>IF(OR(B74="",C74=""),"",IFERROR(INT(ROUND(IFERROR(TIMEVALUE(IF(LEN(C74)-LEN(SUBSTITUTE(C74,":",""))=2,"","0:")&amp;C74)*86400,"")/VALUE(SUBSTITUTE(B74,"K","")),0)/60)&amp;":"&amp;TEXT(MOD(ROUND(IFERROR(TIMEVALUE(IF(LEN(C74)-LEN(SUBSTITUTE(C74,":",""))=2,"","0:")&amp;C74)*86400,"")/VALUE(SUBSTITUTE(B74,"K","")),0),60),"00"),""))</f>
        <v/>
      </c>
      <c r="G74" s="21">
        <f>IF(A74="","",IF(COUNTIF(Atletas!$A$2:$A$302,A74)&gt;0,"Sí","No"))</f>
        <v/>
      </c>
    </row>
    <row r="75">
      <c r="A75" s="17" t="n"/>
      <c r="B75" s="17" t="n"/>
      <c r="C75" s="18" t="n"/>
      <c r="D75" s="19" t="n"/>
      <c r="E75" s="17" t="n"/>
      <c r="F75" s="21">
        <f>IF(OR(B75="",C75=""),"",IFERROR(INT(ROUND(IFERROR(TIMEVALUE(IF(LEN(C75)-LEN(SUBSTITUTE(C75,":",""))=2,"","0:")&amp;C75)*86400,"")/VALUE(SUBSTITUTE(B75,"K","")),0)/60)&amp;":"&amp;TEXT(MOD(ROUND(IFERROR(TIMEVALUE(IF(LEN(C75)-LEN(SUBSTITUTE(C75,":",""))=2,"","0:")&amp;C75)*86400,"")/VALUE(SUBSTITUTE(B75,"K","")),0),60),"00"),""))</f>
        <v/>
      </c>
      <c r="G75" s="21">
        <f>IF(A75="","",IF(COUNTIF(Atletas!$A$2:$A$302,A75)&gt;0,"Sí","No"))</f>
        <v/>
      </c>
    </row>
    <row r="76">
      <c r="A76" s="17" t="n"/>
      <c r="B76" s="17" t="n"/>
      <c r="C76" s="18" t="n"/>
      <c r="D76" s="19" t="n"/>
      <c r="E76" s="17" t="n"/>
      <c r="F76" s="21">
        <f>IF(OR(B76="",C76=""),"",IFERROR(INT(ROUND(IFERROR(TIMEVALUE(IF(LEN(C76)-LEN(SUBSTITUTE(C76,":",""))=2,"","0:")&amp;C76)*86400,"")/VALUE(SUBSTITUTE(B76,"K","")),0)/60)&amp;":"&amp;TEXT(MOD(ROUND(IFERROR(TIMEVALUE(IF(LEN(C76)-LEN(SUBSTITUTE(C76,":",""))=2,"","0:")&amp;C76)*86400,"")/VALUE(SUBSTITUTE(B76,"K","")),0),60),"00"),""))</f>
        <v/>
      </c>
      <c r="G76" s="21">
        <f>IF(A76="","",IF(COUNTIF(Atletas!$A$2:$A$302,A76)&gt;0,"Sí","No"))</f>
        <v/>
      </c>
    </row>
    <row r="77">
      <c r="A77" s="17" t="n"/>
      <c r="B77" s="17" t="n"/>
      <c r="C77" s="18" t="n"/>
      <c r="D77" s="19" t="n"/>
      <c r="E77" s="17" t="n"/>
      <c r="F77" s="21">
        <f>IF(OR(B77="",C77=""),"",IFERROR(INT(ROUND(IFERROR(TIMEVALUE(IF(LEN(C77)-LEN(SUBSTITUTE(C77,":",""))=2,"","0:")&amp;C77)*86400,"")/VALUE(SUBSTITUTE(B77,"K","")),0)/60)&amp;":"&amp;TEXT(MOD(ROUND(IFERROR(TIMEVALUE(IF(LEN(C77)-LEN(SUBSTITUTE(C77,":",""))=2,"","0:")&amp;C77)*86400,"")/VALUE(SUBSTITUTE(B77,"K","")),0),60),"00"),""))</f>
        <v/>
      </c>
      <c r="G77" s="21">
        <f>IF(A77="","",IF(COUNTIF(Atletas!$A$2:$A$302,A77)&gt;0,"Sí","No"))</f>
        <v/>
      </c>
    </row>
    <row r="78">
      <c r="A78" s="17" t="n"/>
      <c r="B78" s="17" t="n"/>
      <c r="C78" s="18" t="n"/>
      <c r="D78" s="19" t="n"/>
      <c r="E78" s="17" t="n"/>
      <c r="F78" s="21">
        <f>IF(OR(B78="",C78=""),"",IFERROR(INT(ROUND(IFERROR(TIMEVALUE(IF(LEN(C78)-LEN(SUBSTITUTE(C78,":",""))=2,"","0:")&amp;C78)*86400,"")/VALUE(SUBSTITUTE(B78,"K","")),0)/60)&amp;":"&amp;TEXT(MOD(ROUND(IFERROR(TIMEVALUE(IF(LEN(C78)-LEN(SUBSTITUTE(C78,":",""))=2,"","0:")&amp;C78)*86400,"")/VALUE(SUBSTITUTE(B78,"K","")),0),60),"00"),""))</f>
        <v/>
      </c>
      <c r="G78" s="21">
        <f>IF(A78="","",IF(COUNTIF(Atletas!$A$2:$A$302,A78)&gt;0,"Sí","No"))</f>
        <v/>
      </c>
    </row>
    <row r="79">
      <c r="A79" s="17" t="n"/>
      <c r="B79" s="17" t="n"/>
      <c r="C79" s="18" t="n"/>
      <c r="D79" s="19" t="n"/>
      <c r="E79" s="17" t="n"/>
      <c r="F79" s="21">
        <f>IF(OR(B79="",C79=""),"",IFERROR(INT(ROUND(IFERROR(TIMEVALUE(IF(LEN(C79)-LEN(SUBSTITUTE(C79,":",""))=2,"","0:")&amp;C79)*86400,"")/VALUE(SUBSTITUTE(B79,"K","")),0)/60)&amp;":"&amp;TEXT(MOD(ROUND(IFERROR(TIMEVALUE(IF(LEN(C79)-LEN(SUBSTITUTE(C79,":",""))=2,"","0:")&amp;C79)*86400,"")/VALUE(SUBSTITUTE(B79,"K","")),0),60),"00"),""))</f>
        <v/>
      </c>
      <c r="G79" s="21">
        <f>IF(A79="","",IF(COUNTIF(Atletas!$A$2:$A$302,A79)&gt;0,"Sí","No"))</f>
        <v/>
      </c>
    </row>
    <row r="80">
      <c r="A80" s="17" t="n"/>
      <c r="B80" s="17" t="n"/>
      <c r="C80" s="18" t="n"/>
      <c r="D80" s="19" t="n"/>
      <c r="E80" s="17" t="n"/>
      <c r="F80" s="21">
        <f>IF(OR(B80="",C80=""),"",IFERROR(INT(ROUND(IFERROR(TIMEVALUE(IF(LEN(C80)-LEN(SUBSTITUTE(C80,":",""))=2,"","0:")&amp;C80)*86400,"")/VALUE(SUBSTITUTE(B80,"K","")),0)/60)&amp;":"&amp;TEXT(MOD(ROUND(IFERROR(TIMEVALUE(IF(LEN(C80)-LEN(SUBSTITUTE(C80,":",""))=2,"","0:")&amp;C80)*86400,"")/VALUE(SUBSTITUTE(B80,"K","")),0),60),"00"),""))</f>
        <v/>
      </c>
      <c r="G80" s="21">
        <f>IF(A80="","",IF(COUNTIF(Atletas!$A$2:$A$302,A80)&gt;0,"Sí","No"))</f>
        <v/>
      </c>
    </row>
    <row r="81">
      <c r="A81" s="17" t="n"/>
      <c r="B81" s="17" t="n"/>
      <c r="C81" s="18" t="n"/>
      <c r="D81" s="19" t="n"/>
      <c r="E81" s="17" t="n"/>
      <c r="F81" s="21">
        <f>IF(OR(B81="",C81=""),"",IFERROR(INT(ROUND(IFERROR(TIMEVALUE(IF(LEN(C81)-LEN(SUBSTITUTE(C81,":",""))=2,"","0:")&amp;C81)*86400,"")/VALUE(SUBSTITUTE(B81,"K","")),0)/60)&amp;":"&amp;TEXT(MOD(ROUND(IFERROR(TIMEVALUE(IF(LEN(C81)-LEN(SUBSTITUTE(C81,":",""))=2,"","0:")&amp;C81)*86400,"")/VALUE(SUBSTITUTE(B81,"K","")),0),60),"00"),""))</f>
        <v/>
      </c>
      <c r="G81" s="21">
        <f>IF(A81="","",IF(COUNTIF(Atletas!$A$2:$A$302,A81)&gt;0,"Sí","No"))</f>
        <v/>
      </c>
    </row>
    <row r="82">
      <c r="A82" s="17" t="n"/>
      <c r="B82" s="17" t="n"/>
      <c r="C82" s="18" t="n"/>
      <c r="D82" s="19" t="n"/>
      <c r="E82" s="17" t="n"/>
      <c r="F82" s="21">
        <f>IF(OR(B82="",C82=""),"",IFERROR(INT(ROUND(IFERROR(TIMEVALUE(IF(LEN(C82)-LEN(SUBSTITUTE(C82,":",""))=2,"","0:")&amp;C82)*86400,"")/VALUE(SUBSTITUTE(B82,"K","")),0)/60)&amp;":"&amp;TEXT(MOD(ROUND(IFERROR(TIMEVALUE(IF(LEN(C82)-LEN(SUBSTITUTE(C82,":",""))=2,"","0:")&amp;C82)*86400,"")/VALUE(SUBSTITUTE(B82,"K","")),0),60),"00"),""))</f>
        <v/>
      </c>
      <c r="G82" s="21">
        <f>IF(A82="","",IF(COUNTIF(Atletas!$A$2:$A$302,A82)&gt;0,"Sí","No"))</f>
        <v/>
      </c>
    </row>
    <row r="83">
      <c r="A83" s="17" t="n"/>
      <c r="B83" s="17" t="n"/>
      <c r="C83" s="18" t="n"/>
      <c r="D83" s="19" t="n"/>
      <c r="E83" s="17" t="n"/>
      <c r="F83" s="21">
        <f>IF(OR(B83="",C83=""),"",IFERROR(INT(ROUND(IFERROR(TIMEVALUE(IF(LEN(C83)-LEN(SUBSTITUTE(C83,":",""))=2,"","0:")&amp;C83)*86400,"")/VALUE(SUBSTITUTE(B83,"K","")),0)/60)&amp;":"&amp;TEXT(MOD(ROUND(IFERROR(TIMEVALUE(IF(LEN(C83)-LEN(SUBSTITUTE(C83,":",""))=2,"","0:")&amp;C83)*86400,"")/VALUE(SUBSTITUTE(B83,"K","")),0),60),"00"),""))</f>
        <v/>
      </c>
      <c r="G83" s="21">
        <f>IF(A83="","",IF(COUNTIF(Atletas!$A$2:$A$302,A83)&gt;0,"Sí","No"))</f>
        <v/>
      </c>
    </row>
    <row r="84">
      <c r="A84" s="17" t="n"/>
      <c r="B84" s="17" t="n"/>
      <c r="C84" s="18" t="n"/>
      <c r="D84" s="19" t="n"/>
      <c r="E84" s="17" t="n"/>
      <c r="F84" s="21">
        <f>IF(OR(B84="",C84=""),"",IFERROR(INT(ROUND(IFERROR(TIMEVALUE(IF(LEN(C84)-LEN(SUBSTITUTE(C84,":",""))=2,"","0:")&amp;C84)*86400,"")/VALUE(SUBSTITUTE(B84,"K","")),0)/60)&amp;":"&amp;TEXT(MOD(ROUND(IFERROR(TIMEVALUE(IF(LEN(C84)-LEN(SUBSTITUTE(C84,":",""))=2,"","0:")&amp;C84)*86400,"")/VALUE(SUBSTITUTE(B84,"K","")),0),60),"00"),""))</f>
        <v/>
      </c>
      <c r="G84" s="21">
        <f>IF(A84="","",IF(COUNTIF(Atletas!$A$2:$A$302,A84)&gt;0,"Sí","No"))</f>
        <v/>
      </c>
    </row>
    <row r="85">
      <c r="A85" s="17" t="n"/>
      <c r="B85" s="17" t="n"/>
      <c r="C85" s="18" t="n"/>
      <c r="D85" s="19" t="n"/>
      <c r="E85" s="17" t="n"/>
      <c r="F85" s="21">
        <f>IF(OR(B85="",C85=""),"",IFERROR(INT(ROUND(IFERROR(TIMEVALUE(IF(LEN(C85)-LEN(SUBSTITUTE(C85,":",""))=2,"","0:")&amp;C85)*86400,"")/VALUE(SUBSTITUTE(B85,"K","")),0)/60)&amp;":"&amp;TEXT(MOD(ROUND(IFERROR(TIMEVALUE(IF(LEN(C85)-LEN(SUBSTITUTE(C85,":",""))=2,"","0:")&amp;C85)*86400,"")/VALUE(SUBSTITUTE(B85,"K","")),0),60),"00"),""))</f>
        <v/>
      </c>
      <c r="G85" s="21">
        <f>IF(A85="","",IF(COUNTIF(Atletas!$A$2:$A$302,A85)&gt;0,"Sí","No"))</f>
        <v/>
      </c>
    </row>
    <row r="86">
      <c r="A86" s="17" t="n"/>
      <c r="B86" s="17" t="n"/>
      <c r="C86" s="18" t="n"/>
      <c r="D86" s="19" t="n"/>
      <c r="E86" s="17" t="n"/>
      <c r="F86" s="21">
        <f>IF(OR(B86="",C86=""),"",IFERROR(INT(ROUND(IFERROR(TIMEVALUE(IF(LEN(C86)-LEN(SUBSTITUTE(C86,":",""))=2,"","0:")&amp;C86)*86400,"")/VALUE(SUBSTITUTE(B86,"K","")),0)/60)&amp;":"&amp;TEXT(MOD(ROUND(IFERROR(TIMEVALUE(IF(LEN(C86)-LEN(SUBSTITUTE(C86,":",""))=2,"","0:")&amp;C86)*86400,"")/VALUE(SUBSTITUTE(B86,"K","")),0),60),"00"),""))</f>
        <v/>
      </c>
      <c r="G86" s="21">
        <f>IF(A86="","",IF(COUNTIF(Atletas!$A$2:$A$302,A86)&gt;0,"Sí","No"))</f>
        <v/>
      </c>
    </row>
    <row r="87">
      <c r="A87" s="17" t="n"/>
      <c r="B87" s="17" t="n"/>
      <c r="C87" s="18" t="n"/>
      <c r="D87" s="19" t="n"/>
      <c r="E87" s="17" t="n"/>
      <c r="F87" s="21">
        <f>IF(OR(B87="",C87=""),"",IFERROR(INT(ROUND(IFERROR(TIMEVALUE(IF(LEN(C87)-LEN(SUBSTITUTE(C87,":",""))=2,"","0:")&amp;C87)*86400,"")/VALUE(SUBSTITUTE(B87,"K","")),0)/60)&amp;":"&amp;TEXT(MOD(ROUND(IFERROR(TIMEVALUE(IF(LEN(C87)-LEN(SUBSTITUTE(C87,":",""))=2,"","0:")&amp;C87)*86400,"")/VALUE(SUBSTITUTE(B87,"K","")),0),60),"00"),""))</f>
        <v/>
      </c>
      <c r="G87" s="21">
        <f>IF(A87="","",IF(COUNTIF(Atletas!$A$2:$A$302,A87)&gt;0,"Sí","No"))</f>
        <v/>
      </c>
    </row>
    <row r="88">
      <c r="A88" s="17" t="n"/>
      <c r="B88" s="17" t="n"/>
      <c r="C88" s="18" t="n"/>
      <c r="D88" s="19" t="n"/>
      <c r="E88" s="17" t="n"/>
      <c r="F88" s="21">
        <f>IF(OR(B88="",C88=""),"",IFERROR(INT(ROUND(IFERROR(TIMEVALUE(IF(LEN(C88)-LEN(SUBSTITUTE(C88,":",""))=2,"","0:")&amp;C88)*86400,"")/VALUE(SUBSTITUTE(B88,"K","")),0)/60)&amp;":"&amp;TEXT(MOD(ROUND(IFERROR(TIMEVALUE(IF(LEN(C88)-LEN(SUBSTITUTE(C88,":",""))=2,"","0:")&amp;C88)*86400,"")/VALUE(SUBSTITUTE(B88,"K","")),0),60),"00"),""))</f>
        <v/>
      </c>
      <c r="G88" s="21">
        <f>IF(A88="","",IF(COUNTIF(Atletas!$A$2:$A$302,A88)&gt;0,"Sí","No"))</f>
        <v/>
      </c>
    </row>
    <row r="89">
      <c r="A89" s="17" t="n"/>
      <c r="B89" s="17" t="n"/>
      <c r="C89" s="18" t="n"/>
      <c r="D89" s="19" t="n"/>
      <c r="E89" s="17" t="n"/>
      <c r="F89" s="21">
        <f>IF(OR(B89="",C89=""),"",IFERROR(INT(ROUND(IFERROR(TIMEVALUE(IF(LEN(C89)-LEN(SUBSTITUTE(C89,":",""))=2,"","0:")&amp;C89)*86400,"")/VALUE(SUBSTITUTE(B89,"K","")),0)/60)&amp;":"&amp;TEXT(MOD(ROUND(IFERROR(TIMEVALUE(IF(LEN(C89)-LEN(SUBSTITUTE(C89,":",""))=2,"","0:")&amp;C89)*86400,"")/VALUE(SUBSTITUTE(B89,"K","")),0),60),"00"),""))</f>
        <v/>
      </c>
      <c r="G89" s="21">
        <f>IF(A89="","",IF(COUNTIF(Atletas!$A$2:$A$302,A89)&gt;0,"Sí","No"))</f>
        <v/>
      </c>
    </row>
    <row r="90">
      <c r="A90" s="17" t="n"/>
      <c r="B90" s="17" t="n"/>
      <c r="C90" s="18" t="n"/>
      <c r="D90" s="19" t="n"/>
      <c r="E90" s="17" t="n"/>
      <c r="F90" s="21">
        <f>IF(OR(B90="",C90=""),"",IFERROR(INT(ROUND(IFERROR(TIMEVALUE(IF(LEN(C90)-LEN(SUBSTITUTE(C90,":",""))=2,"","0:")&amp;C90)*86400,"")/VALUE(SUBSTITUTE(B90,"K","")),0)/60)&amp;":"&amp;TEXT(MOD(ROUND(IFERROR(TIMEVALUE(IF(LEN(C90)-LEN(SUBSTITUTE(C90,":",""))=2,"","0:")&amp;C90)*86400,"")/VALUE(SUBSTITUTE(B90,"K","")),0),60),"00"),""))</f>
        <v/>
      </c>
      <c r="G90" s="21">
        <f>IF(A90="","",IF(COUNTIF(Atletas!$A$2:$A$302,A90)&gt;0,"Sí","No"))</f>
        <v/>
      </c>
    </row>
    <row r="91">
      <c r="A91" s="17" t="n"/>
      <c r="B91" s="17" t="n"/>
      <c r="C91" s="18" t="n"/>
      <c r="D91" s="19" t="n"/>
      <c r="E91" s="17" t="n"/>
      <c r="F91" s="21">
        <f>IF(OR(B91="",C91=""),"",IFERROR(INT(ROUND(IFERROR(TIMEVALUE(IF(LEN(C91)-LEN(SUBSTITUTE(C91,":",""))=2,"","0:")&amp;C91)*86400,"")/VALUE(SUBSTITUTE(B91,"K","")),0)/60)&amp;":"&amp;TEXT(MOD(ROUND(IFERROR(TIMEVALUE(IF(LEN(C91)-LEN(SUBSTITUTE(C91,":",""))=2,"","0:")&amp;C91)*86400,"")/VALUE(SUBSTITUTE(B91,"K","")),0),60),"00"),""))</f>
        <v/>
      </c>
      <c r="G91" s="21">
        <f>IF(A91="","",IF(COUNTIF(Atletas!$A$2:$A$302,A91)&gt;0,"Sí","No"))</f>
        <v/>
      </c>
    </row>
    <row r="92">
      <c r="A92" s="17" t="n"/>
      <c r="B92" s="17" t="n"/>
      <c r="C92" s="18" t="n"/>
      <c r="D92" s="19" t="n"/>
      <c r="E92" s="17" t="n"/>
      <c r="F92" s="21">
        <f>IF(OR(B92="",C92=""),"",IFERROR(INT(ROUND(IFERROR(TIMEVALUE(IF(LEN(C92)-LEN(SUBSTITUTE(C92,":",""))=2,"","0:")&amp;C92)*86400,"")/VALUE(SUBSTITUTE(B92,"K","")),0)/60)&amp;":"&amp;TEXT(MOD(ROUND(IFERROR(TIMEVALUE(IF(LEN(C92)-LEN(SUBSTITUTE(C92,":",""))=2,"","0:")&amp;C92)*86400,"")/VALUE(SUBSTITUTE(B92,"K","")),0),60),"00"),""))</f>
        <v/>
      </c>
      <c r="G92" s="21">
        <f>IF(A92="","",IF(COUNTIF(Atletas!$A$2:$A$302,A92)&gt;0,"Sí","No"))</f>
        <v/>
      </c>
    </row>
    <row r="93">
      <c r="A93" s="17" t="n"/>
      <c r="B93" s="17" t="n"/>
      <c r="C93" s="18" t="n"/>
      <c r="D93" s="19" t="n"/>
      <c r="E93" s="17" t="n"/>
      <c r="F93" s="21">
        <f>IF(OR(B93="",C93=""),"",IFERROR(INT(ROUND(IFERROR(TIMEVALUE(IF(LEN(C93)-LEN(SUBSTITUTE(C93,":",""))=2,"","0:")&amp;C93)*86400,"")/VALUE(SUBSTITUTE(B93,"K","")),0)/60)&amp;":"&amp;TEXT(MOD(ROUND(IFERROR(TIMEVALUE(IF(LEN(C93)-LEN(SUBSTITUTE(C93,":",""))=2,"","0:")&amp;C93)*86400,"")/VALUE(SUBSTITUTE(B93,"K","")),0),60),"00"),""))</f>
        <v/>
      </c>
      <c r="G93" s="21">
        <f>IF(A93="","",IF(COUNTIF(Atletas!$A$2:$A$302,A93)&gt;0,"Sí","No"))</f>
        <v/>
      </c>
    </row>
    <row r="94">
      <c r="A94" s="17" t="n"/>
      <c r="B94" s="17" t="n"/>
      <c r="C94" s="18" t="n"/>
      <c r="D94" s="19" t="n"/>
      <c r="E94" s="17" t="n"/>
      <c r="F94" s="21">
        <f>IF(OR(B94="",C94=""),"",IFERROR(INT(ROUND(IFERROR(TIMEVALUE(IF(LEN(C94)-LEN(SUBSTITUTE(C94,":",""))=2,"","0:")&amp;C94)*86400,"")/VALUE(SUBSTITUTE(B94,"K","")),0)/60)&amp;":"&amp;TEXT(MOD(ROUND(IFERROR(TIMEVALUE(IF(LEN(C94)-LEN(SUBSTITUTE(C94,":",""))=2,"","0:")&amp;C94)*86400,"")/VALUE(SUBSTITUTE(B94,"K","")),0),60),"00"),""))</f>
        <v/>
      </c>
      <c r="G94" s="21">
        <f>IF(A94="","",IF(COUNTIF(Atletas!$A$2:$A$302,A94)&gt;0,"Sí","No"))</f>
        <v/>
      </c>
    </row>
    <row r="95">
      <c r="A95" s="17" t="n"/>
      <c r="B95" s="17" t="n"/>
      <c r="C95" s="18" t="n"/>
      <c r="D95" s="19" t="n"/>
      <c r="E95" s="17" t="n"/>
      <c r="F95" s="21">
        <f>IF(OR(B95="",C95=""),"",IFERROR(INT(ROUND(IFERROR(TIMEVALUE(IF(LEN(C95)-LEN(SUBSTITUTE(C95,":",""))=2,"","0:")&amp;C95)*86400,"")/VALUE(SUBSTITUTE(B95,"K","")),0)/60)&amp;":"&amp;TEXT(MOD(ROUND(IFERROR(TIMEVALUE(IF(LEN(C95)-LEN(SUBSTITUTE(C95,":",""))=2,"","0:")&amp;C95)*86400,"")/VALUE(SUBSTITUTE(B95,"K","")),0),60),"00"),""))</f>
        <v/>
      </c>
      <c r="G95" s="21">
        <f>IF(A95="","",IF(COUNTIF(Atletas!$A$2:$A$302,A95)&gt;0,"Sí","No"))</f>
        <v/>
      </c>
    </row>
    <row r="96">
      <c r="A96" s="17" t="n"/>
      <c r="B96" s="17" t="n"/>
      <c r="C96" s="18" t="n"/>
      <c r="D96" s="19" t="n"/>
      <c r="E96" s="17" t="n"/>
      <c r="F96" s="21">
        <f>IF(OR(B96="",C96=""),"",IFERROR(INT(ROUND(IFERROR(TIMEVALUE(IF(LEN(C96)-LEN(SUBSTITUTE(C96,":",""))=2,"","0:")&amp;C96)*86400,"")/VALUE(SUBSTITUTE(B96,"K","")),0)/60)&amp;":"&amp;TEXT(MOD(ROUND(IFERROR(TIMEVALUE(IF(LEN(C96)-LEN(SUBSTITUTE(C96,":",""))=2,"","0:")&amp;C96)*86400,"")/VALUE(SUBSTITUTE(B96,"K","")),0),60),"00"),""))</f>
        <v/>
      </c>
      <c r="G96" s="21">
        <f>IF(A96="","",IF(COUNTIF(Atletas!$A$2:$A$302,A96)&gt;0,"Sí","No"))</f>
        <v/>
      </c>
    </row>
    <row r="97">
      <c r="A97" s="17" t="n"/>
      <c r="B97" s="17" t="n"/>
      <c r="C97" s="18" t="n"/>
      <c r="D97" s="19" t="n"/>
      <c r="E97" s="17" t="n"/>
      <c r="F97" s="21">
        <f>IF(OR(B97="",C97=""),"",IFERROR(INT(ROUND(IFERROR(TIMEVALUE(IF(LEN(C97)-LEN(SUBSTITUTE(C97,":",""))=2,"","0:")&amp;C97)*86400,"")/VALUE(SUBSTITUTE(B97,"K","")),0)/60)&amp;":"&amp;TEXT(MOD(ROUND(IFERROR(TIMEVALUE(IF(LEN(C97)-LEN(SUBSTITUTE(C97,":",""))=2,"","0:")&amp;C97)*86400,"")/VALUE(SUBSTITUTE(B97,"K","")),0),60),"00"),""))</f>
        <v/>
      </c>
      <c r="G97" s="21">
        <f>IF(A97="","",IF(COUNTIF(Atletas!$A$2:$A$302,A97)&gt;0,"Sí","No"))</f>
        <v/>
      </c>
    </row>
    <row r="98">
      <c r="A98" s="17" t="n"/>
      <c r="B98" s="17" t="n"/>
      <c r="C98" s="18" t="n"/>
      <c r="D98" s="19" t="n"/>
      <c r="E98" s="17" t="n"/>
      <c r="F98" s="21">
        <f>IF(OR(B98="",C98=""),"",IFERROR(INT(ROUND(IFERROR(TIMEVALUE(IF(LEN(C98)-LEN(SUBSTITUTE(C98,":",""))=2,"","0:")&amp;C98)*86400,"")/VALUE(SUBSTITUTE(B98,"K","")),0)/60)&amp;":"&amp;TEXT(MOD(ROUND(IFERROR(TIMEVALUE(IF(LEN(C98)-LEN(SUBSTITUTE(C98,":",""))=2,"","0:")&amp;C98)*86400,"")/VALUE(SUBSTITUTE(B98,"K","")),0),60),"00"),""))</f>
        <v/>
      </c>
      <c r="G98" s="21">
        <f>IF(A98="","",IF(COUNTIF(Atletas!$A$2:$A$302,A98)&gt;0,"Sí","No"))</f>
        <v/>
      </c>
    </row>
    <row r="99">
      <c r="A99" s="17" t="n"/>
      <c r="B99" s="17" t="n"/>
      <c r="C99" s="18" t="n"/>
      <c r="D99" s="19" t="n"/>
      <c r="E99" s="17" t="n"/>
      <c r="F99" s="21">
        <f>IF(OR(B99="",C99=""),"",IFERROR(INT(ROUND(IFERROR(TIMEVALUE(IF(LEN(C99)-LEN(SUBSTITUTE(C99,":",""))=2,"","0:")&amp;C99)*86400,"")/VALUE(SUBSTITUTE(B99,"K","")),0)/60)&amp;":"&amp;TEXT(MOD(ROUND(IFERROR(TIMEVALUE(IF(LEN(C99)-LEN(SUBSTITUTE(C99,":",""))=2,"","0:")&amp;C99)*86400,"")/VALUE(SUBSTITUTE(B99,"K","")),0),60),"00"),""))</f>
        <v/>
      </c>
      <c r="G99" s="21">
        <f>IF(A99="","",IF(COUNTIF(Atletas!$A$2:$A$302,A99)&gt;0,"Sí","No"))</f>
        <v/>
      </c>
    </row>
    <row r="100">
      <c r="A100" s="17" t="n"/>
      <c r="B100" s="17" t="n"/>
      <c r="C100" s="18" t="n"/>
      <c r="D100" s="19" t="n"/>
      <c r="E100" s="17" t="n"/>
      <c r="F100" s="21">
        <f>IF(OR(B100="",C100=""),"",IFERROR(INT(ROUND(IFERROR(TIMEVALUE(IF(LEN(C100)-LEN(SUBSTITUTE(C100,":",""))=2,"","0:")&amp;C100)*86400,"")/VALUE(SUBSTITUTE(B100,"K","")),0)/60)&amp;":"&amp;TEXT(MOD(ROUND(IFERROR(TIMEVALUE(IF(LEN(C100)-LEN(SUBSTITUTE(C100,":",""))=2,"","0:")&amp;C100)*86400,"")/VALUE(SUBSTITUTE(B100,"K","")),0),60),"00"),""))</f>
        <v/>
      </c>
      <c r="G100" s="21">
        <f>IF(A100="","",IF(COUNTIF(Atletas!$A$2:$A$302,A100)&gt;0,"Sí","No"))</f>
        <v/>
      </c>
    </row>
    <row r="101">
      <c r="A101" s="17" t="n"/>
      <c r="B101" s="17" t="n"/>
      <c r="C101" s="18" t="n"/>
      <c r="D101" s="19" t="n"/>
      <c r="E101" s="17" t="n"/>
      <c r="F101" s="21">
        <f>IF(OR(B101="",C101=""),"",IFERROR(INT(ROUND(IFERROR(TIMEVALUE(IF(LEN(C101)-LEN(SUBSTITUTE(C101,":",""))=2,"","0:")&amp;C101)*86400,"")/VALUE(SUBSTITUTE(B101,"K","")),0)/60)&amp;":"&amp;TEXT(MOD(ROUND(IFERROR(TIMEVALUE(IF(LEN(C101)-LEN(SUBSTITUTE(C101,":",""))=2,"","0:")&amp;C101)*86400,"")/VALUE(SUBSTITUTE(B101,"K","")),0),60),"00"),""))</f>
        <v/>
      </c>
      <c r="G101" s="21">
        <f>IF(A101="","",IF(COUNTIF(Atletas!$A$2:$A$302,A101)&gt;0,"Sí","No"))</f>
        <v/>
      </c>
    </row>
    <row r="102">
      <c r="A102" s="17" t="n"/>
      <c r="B102" s="17" t="n"/>
      <c r="C102" s="18" t="n"/>
      <c r="D102" s="19" t="n"/>
      <c r="E102" s="17" t="n"/>
      <c r="F102" s="21">
        <f>IF(OR(B102="",C102=""),"",IFERROR(INT(ROUND(IFERROR(TIMEVALUE(IF(LEN(C102)-LEN(SUBSTITUTE(C102,":",""))=2,"","0:")&amp;C102)*86400,"")/VALUE(SUBSTITUTE(B102,"K","")),0)/60)&amp;":"&amp;TEXT(MOD(ROUND(IFERROR(TIMEVALUE(IF(LEN(C102)-LEN(SUBSTITUTE(C102,":",""))=2,"","0:")&amp;C102)*86400,"")/VALUE(SUBSTITUTE(B102,"K","")),0),60),"00"),""))</f>
        <v/>
      </c>
      <c r="G102" s="21">
        <f>IF(A102="","",IF(COUNTIF(Atletas!$A$2:$A$302,A102)&gt;0,"Sí","No"))</f>
        <v/>
      </c>
    </row>
    <row r="103">
      <c r="A103" s="17" t="n"/>
      <c r="B103" s="17" t="n"/>
      <c r="C103" s="18" t="n"/>
      <c r="D103" s="19" t="n"/>
      <c r="E103" s="17" t="n"/>
      <c r="F103" s="21">
        <f>IF(OR(B103="",C103=""),"",IFERROR(INT(ROUND(IFERROR(TIMEVALUE(IF(LEN(C103)-LEN(SUBSTITUTE(C103,":",""))=2,"","0:")&amp;C103)*86400,"")/VALUE(SUBSTITUTE(B103,"K","")),0)/60)&amp;":"&amp;TEXT(MOD(ROUND(IFERROR(TIMEVALUE(IF(LEN(C103)-LEN(SUBSTITUTE(C103,":",""))=2,"","0:")&amp;C103)*86400,"")/VALUE(SUBSTITUTE(B103,"K","")),0),60),"00"),""))</f>
        <v/>
      </c>
      <c r="G103" s="21">
        <f>IF(A103="","",IF(COUNTIF(Atletas!$A$2:$A$302,A103)&gt;0,"Sí","No"))</f>
        <v/>
      </c>
    </row>
    <row r="104">
      <c r="A104" s="17" t="n"/>
      <c r="B104" s="17" t="n"/>
      <c r="C104" s="18" t="n"/>
      <c r="D104" s="19" t="n"/>
      <c r="E104" s="17" t="n"/>
      <c r="F104" s="21">
        <f>IF(OR(B104="",C104=""),"",IFERROR(INT(ROUND(IFERROR(TIMEVALUE(IF(LEN(C104)-LEN(SUBSTITUTE(C104,":",""))=2,"","0:")&amp;C104)*86400,"")/VALUE(SUBSTITUTE(B104,"K","")),0)/60)&amp;":"&amp;TEXT(MOD(ROUND(IFERROR(TIMEVALUE(IF(LEN(C104)-LEN(SUBSTITUTE(C104,":",""))=2,"","0:")&amp;C104)*86400,"")/VALUE(SUBSTITUTE(B104,"K","")),0),60),"00"),""))</f>
        <v/>
      </c>
      <c r="G104" s="21">
        <f>IF(A104="","",IF(COUNTIF(Atletas!$A$2:$A$302,A104)&gt;0,"Sí","No"))</f>
        <v/>
      </c>
    </row>
    <row r="105">
      <c r="A105" s="17" t="n"/>
      <c r="B105" s="17" t="n"/>
      <c r="C105" s="18" t="n"/>
      <c r="D105" s="19" t="n"/>
      <c r="E105" s="17" t="n"/>
      <c r="F105" s="21">
        <f>IF(OR(B105="",C105=""),"",IFERROR(INT(ROUND(IFERROR(TIMEVALUE(IF(LEN(C105)-LEN(SUBSTITUTE(C105,":",""))=2,"","0:")&amp;C105)*86400,"")/VALUE(SUBSTITUTE(B105,"K","")),0)/60)&amp;":"&amp;TEXT(MOD(ROUND(IFERROR(TIMEVALUE(IF(LEN(C105)-LEN(SUBSTITUTE(C105,":",""))=2,"","0:")&amp;C105)*86400,"")/VALUE(SUBSTITUTE(B105,"K","")),0),60),"00"),""))</f>
        <v/>
      </c>
      <c r="G105" s="21">
        <f>IF(A105="","",IF(COUNTIF(Atletas!$A$2:$A$302,A105)&gt;0,"Sí","No"))</f>
        <v/>
      </c>
    </row>
    <row r="106">
      <c r="A106" s="17" t="n"/>
      <c r="B106" s="17" t="n"/>
      <c r="C106" s="18" t="n"/>
      <c r="D106" s="19" t="n"/>
      <c r="E106" s="17" t="n"/>
      <c r="F106" s="21">
        <f>IF(OR(B106="",C106=""),"",IFERROR(INT(ROUND(IFERROR(TIMEVALUE(IF(LEN(C106)-LEN(SUBSTITUTE(C106,":",""))=2,"","0:")&amp;C106)*86400,"")/VALUE(SUBSTITUTE(B106,"K","")),0)/60)&amp;":"&amp;TEXT(MOD(ROUND(IFERROR(TIMEVALUE(IF(LEN(C106)-LEN(SUBSTITUTE(C106,":",""))=2,"","0:")&amp;C106)*86400,"")/VALUE(SUBSTITUTE(B106,"K","")),0),60),"00"),""))</f>
        <v/>
      </c>
      <c r="G106" s="21">
        <f>IF(A106="","",IF(COUNTIF(Atletas!$A$2:$A$302,A106)&gt;0,"Sí","No"))</f>
        <v/>
      </c>
    </row>
    <row r="107">
      <c r="A107" s="17" t="n"/>
      <c r="B107" s="17" t="n"/>
      <c r="C107" s="18" t="n"/>
      <c r="D107" s="19" t="n"/>
      <c r="E107" s="17" t="n"/>
      <c r="F107" s="21">
        <f>IF(OR(B107="",C107=""),"",IFERROR(INT(ROUND(IFERROR(TIMEVALUE(IF(LEN(C107)-LEN(SUBSTITUTE(C107,":",""))=2,"","0:")&amp;C107)*86400,"")/VALUE(SUBSTITUTE(B107,"K","")),0)/60)&amp;":"&amp;TEXT(MOD(ROUND(IFERROR(TIMEVALUE(IF(LEN(C107)-LEN(SUBSTITUTE(C107,":",""))=2,"","0:")&amp;C107)*86400,"")/VALUE(SUBSTITUTE(B107,"K","")),0),60),"00"),""))</f>
        <v/>
      </c>
      <c r="G107" s="21">
        <f>IF(A107="","",IF(COUNTIF(Atletas!$A$2:$A$302,A107)&gt;0,"Sí","No"))</f>
        <v/>
      </c>
    </row>
    <row r="108">
      <c r="A108" s="17" t="n"/>
      <c r="B108" s="17" t="n"/>
      <c r="C108" s="18" t="n"/>
      <c r="D108" s="19" t="n"/>
      <c r="E108" s="17" t="n"/>
      <c r="F108" s="21">
        <f>IF(OR(B108="",C108=""),"",IFERROR(INT(ROUND(IFERROR(TIMEVALUE(IF(LEN(C108)-LEN(SUBSTITUTE(C108,":",""))=2,"","0:")&amp;C108)*86400,"")/VALUE(SUBSTITUTE(B108,"K","")),0)/60)&amp;":"&amp;TEXT(MOD(ROUND(IFERROR(TIMEVALUE(IF(LEN(C108)-LEN(SUBSTITUTE(C108,":",""))=2,"","0:")&amp;C108)*86400,"")/VALUE(SUBSTITUTE(B108,"K","")),0),60),"00"),""))</f>
        <v/>
      </c>
      <c r="G108" s="21">
        <f>IF(A108="","",IF(COUNTIF(Atletas!$A$2:$A$302,A108)&gt;0,"Sí","No"))</f>
        <v/>
      </c>
    </row>
    <row r="109">
      <c r="A109" s="17" t="n"/>
      <c r="B109" s="17" t="n"/>
      <c r="C109" s="18" t="n"/>
      <c r="D109" s="19" t="n"/>
      <c r="E109" s="17" t="n"/>
      <c r="F109" s="21">
        <f>IF(OR(B109="",C109=""),"",IFERROR(INT(ROUND(IFERROR(TIMEVALUE(IF(LEN(C109)-LEN(SUBSTITUTE(C109,":",""))=2,"","0:")&amp;C109)*86400,"")/VALUE(SUBSTITUTE(B109,"K","")),0)/60)&amp;":"&amp;TEXT(MOD(ROUND(IFERROR(TIMEVALUE(IF(LEN(C109)-LEN(SUBSTITUTE(C109,":",""))=2,"","0:")&amp;C109)*86400,"")/VALUE(SUBSTITUTE(B109,"K","")),0),60),"00"),""))</f>
        <v/>
      </c>
      <c r="G109" s="21">
        <f>IF(A109="","",IF(COUNTIF(Atletas!$A$2:$A$302,A109)&gt;0,"Sí","No"))</f>
        <v/>
      </c>
    </row>
    <row r="110">
      <c r="A110" s="17" t="n"/>
      <c r="B110" s="17" t="n"/>
      <c r="C110" s="18" t="n"/>
      <c r="D110" s="19" t="n"/>
      <c r="E110" s="17" t="n"/>
      <c r="F110" s="21">
        <f>IF(OR(B110="",C110=""),"",IFERROR(INT(ROUND(IFERROR(TIMEVALUE(IF(LEN(C110)-LEN(SUBSTITUTE(C110,":",""))=2,"","0:")&amp;C110)*86400,"")/VALUE(SUBSTITUTE(B110,"K","")),0)/60)&amp;":"&amp;TEXT(MOD(ROUND(IFERROR(TIMEVALUE(IF(LEN(C110)-LEN(SUBSTITUTE(C110,":",""))=2,"","0:")&amp;C110)*86400,"")/VALUE(SUBSTITUTE(B110,"K","")),0),60),"00"),""))</f>
        <v/>
      </c>
      <c r="G110" s="21">
        <f>IF(A110="","",IF(COUNTIF(Atletas!$A$2:$A$302,A110)&gt;0,"Sí","No"))</f>
        <v/>
      </c>
    </row>
    <row r="111">
      <c r="A111" s="17" t="n"/>
      <c r="B111" s="17" t="n"/>
      <c r="C111" s="18" t="n"/>
      <c r="D111" s="19" t="n"/>
      <c r="E111" s="17" t="n"/>
      <c r="F111" s="21">
        <f>IF(OR(B111="",C111=""),"",IFERROR(INT(ROUND(IFERROR(TIMEVALUE(IF(LEN(C111)-LEN(SUBSTITUTE(C111,":",""))=2,"","0:")&amp;C111)*86400,"")/VALUE(SUBSTITUTE(B111,"K","")),0)/60)&amp;":"&amp;TEXT(MOD(ROUND(IFERROR(TIMEVALUE(IF(LEN(C111)-LEN(SUBSTITUTE(C111,":",""))=2,"","0:")&amp;C111)*86400,"")/VALUE(SUBSTITUTE(B111,"K","")),0),60),"00"),""))</f>
        <v/>
      </c>
      <c r="G111" s="21">
        <f>IF(A111="","",IF(COUNTIF(Atletas!$A$2:$A$302,A111)&gt;0,"Sí","No"))</f>
        <v/>
      </c>
    </row>
    <row r="112">
      <c r="A112" s="17" t="n"/>
      <c r="B112" s="17" t="n"/>
      <c r="C112" s="18" t="n"/>
      <c r="D112" s="19" t="n"/>
      <c r="E112" s="17" t="n"/>
      <c r="F112" s="21">
        <f>IF(OR(B112="",C112=""),"",IFERROR(INT(ROUND(IFERROR(TIMEVALUE(IF(LEN(C112)-LEN(SUBSTITUTE(C112,":",""))=2,"","0:")&amp;C112)*86400,"")/VALUE(SUBSTITUTE(B112,"K","")),0)/60)&amp;":"&amp;TEXT(MOD(ROUND(IFERROR(TIMEVALUE(IF(LEN(C112)-LEN(SUBSTITUTE(C112,":",""))=2,"","0:")&amp;C112)*86400,"")/VALUE(SUBSTITUTE(B112,"K","")),0),60),"00"),""))</f>
        <v/>
      </c>
      <c r="G112" s="21">
        <f>IF(A112="","",IF(COUNTIF(Atletas!$A$2:$A$302,A112)&gt;0,"Sí","No"))</f>
        <v/>
      </c>
    </row>
    <row r="113">
      <c r="A113" s="17" t="n"/>
      <c r="B113" s="17" t="n"/>
      <c r="C113" s="18" t="n"/>
      <c r="D113" s="19" t="n"/>
      <c r="E113" s="17" t="n"/>
      <c r="F113" s="21">
        <f>IF(OR(B113="",C113=""),"",IFERROR(INT(ROUND(IFERROR(TIMEVALUE(IF(LEN(C113)-LEN(SUBSTITUTE(C113,":",""))=2,"","0:")&amp;C113)*86400,"")/VALUE(SUBSTITUTE(B113,"K","")),0)/60)&amp;":"&amp;TEXT(MOD(ROUND(IFERROR(TIMEVALUE(IF(LEN(C113)-LEN(SUBSTITUTE(C113,":",""))=2,"","0:")&amp;C113)*86400,"")/VALUE(SUBSTITUTE(B113,"K","")),0),60),"00"),""))</f>
        <v/>
      </c>
      <c r="G113" s="21">
        <f>IF(A113="","",IF(COUNTIF(Atletas!$A$2:$A$302,A113)&gt;0,"Sí","No"))</f>
        <v/>
      </c>
    </row>
    <row r="114">
      <c r="A114" s="17" t="n"/>
      <c r="B114" s="17" t="n"/>
      <c r="C114" s="18" t="n"/>
      <c r="D114" s="19" t="n"/>
      <c r="E114" s="17" t="n"/>
      <c r="F114" s="21">
        <f>IF(OR(B114="",C114=""),"",IFERROR(INT(ROUND(IFERROR(TIMEVALUE(IF(LEN(C114)-LEN(SUBSTITUTE(C114,":",""))=2,"","0:")&amp;C114)*86400,"")/VALUE(SUBSTITUTE(B114,"K","")),0)/60)&amp;":"&amp;TEXT(MOD(ROUND(IFERROR(TIMEVALUE(IF(LEN(C114)-LEN(SUBSTITUTE(C114,":",""))=2,"","0:")&amp;C114)*86400,"")/VALUE(SUBSTITUTE(B114,"K","")),0),60),"00"),""))</f>
        <v/>
      </c>
      <c r="G114" s="21">
        <f>IF(A114="","",IF(COUNTIF(Atletas!$A$2:$A$302,A114)&gt;0,"Sí","No"))</f>
        <v/>
      </c>
    </row>
    <row r="115">
      <c r="A115" s="17" t="n"/>
      <c r="B115" s="17" t="n"/>
      <c r="C115" s="18" t="n"/>
      <c r="D115" s="19" t="n"/>
      <c r="E115" s="17" t="n"/>
      <c r="F115" s="21">
        <f>IF(OR(B115="",C115=""),"",IFERROR(INT(ROUND(IFERROR(TIMEVALUE(IF(LEN(C115)-LEN(SUBSTITUTE(C115,":",""))=2,"","0:")&amp;C115)*86400,"")/VALUE(SUBSTITUTE(B115,"K","")),0)/60)&amp;":"&amp;TEXT(MOD(ROUND(IFERROR(TIMEVALUE(IF(LEN(C115)-LEN(SUBSTITUTE(C115,":",""))=2,"","0:")&amp;C115)*86400,"")/VALUE(SUBSTITUTE(B115,"K","")),0),60),"00"),""))</f>
        <v/>
      </c>
      <c r="G115" s="21">
        <f>IF(A115="","",IF(COUNTIF(Atletas!$A$2:$A$302,A115)&gt;0,"Sí","No"))</f>
        <v/>
      </c>
    </row>
    <row r="116">
      <c r="A116" s="17" t="n"/>
      <c r="B116" s="17" t="n"/>
      <c r="C116" s="18" t="n"/>
      <c r="D116" s="19" t="n"/>
      <c r="E116" s="17" t="n"/>
      <c r="F116" s="21">
        <f>IF(OR(B116="",C116=""),"",IFERROR(INT(ROUND(IFERROR(TIMEVALUE(IF(LEN(C116)-LEN(SUBSTITUTE(C116,":",""))=2,"","0:")&amp;C116)*86400,"")/VALUE(SUBSTITUTE(B116,"K","")),0)/60)&amp;":"&amp;TEXT(MOD(ROUND(IFERROR(TIMEVALUE(IF(LEN(C116)-LEN(SUBSTITUTE(C116,":",""))=2,"","0:")&amp;C116)*86400,"")/VALUE(SUBSTITUTE(B116,"K","")),0),60),"00"),""))</f>
        <v/>
      </c>
      <c r="G116" s="21">
        <f>IF(A116="","",IF(COUNTIF(Atletas!$A$2:$A$302,A116)&gt;0,"Sí","No"))</f>
        <v/>
      </c>
    </row>
    <row r="117">
      <c r="A117" s="17" t="n"/>
      <c r="B117" s="17" t="n"/>
      <c r="C117" s="18" t="n"/>
      <c r="D117" s="19" t="n"/>
      <c r="E117" s="17" t="n"/>
      <c r="F117" s="21">
        <f>IF(OR(B117="",C117=""),"",IFERROR(INT(ROUND(IFERROR(TIMEVALUE(IF(LEN(C117)-LEN(SUBSTITUTE(C117,":",""))=2,"","0:")&amp;C117)*86400,"")/VALUE(SUBSTITUTE(B117,"K","")),0)/60)&amp;":"&amp;TEXT(MOD(ROUND(IFERROR(TIMEVALUE(IF(LEN(C117)-LEN(SUBSTITUTE(C117,":",""))=2,"","0:")&amp;C117)*86400,"")/VALUE(SUBSTITUTE(B117,"K","")),0),60),"00"),""))</f>
        <v/>
      </c>
      <c r="G117" s="21">
        <f>IF(A117="","",IF(COUNTIF(Atletas!$A$2:$A$302,A117)&gt;0,"Sí","No"))</f>
        <v/>
      </c>
    </row>
    <row r="118">
      <c r="A118" s="17" t="n"/>
      <c r="B118" s="17" t="n"/>
      <c r="C118" s="18" t="n"/>
      <c r="D118" s="19" t="n"/>
      <c r="E118" s="17" t="n"/>
      <c r="F118" s="21">
        <f>IF(OR(B118="",C118=""),"",IFERROR(INT(ROUND(IFERROR(TIMEVALUE(IF(LEN(C118)-LEN(SUBSTITUTE(C118,":",""))=2,"","0:")&amp;C118)*86400,"")/VALUE(SUBSTITUTE(B118,"K","")),0)/60)&amp;":"&amp;TEXT(MOD(ROUND(IFERROR(TIMEVALUE(IF(LEN(C118)-LEN(SUBSTITUTE(C118,":",""))=2,"","0:")&amp;C118)*86400,"")/VALUE(SUBSTITUTE(B118,"K","")),0),60),"00"),""))</f>
        <v/>
      </c>
      <c r="G118" s="21">
        <f>IF(A118="","",IF(COUNTIF(Atletas!$A$2:$A$302,A118)&gt;0,"Sí","No"))</f>
        <v/>
      </c>
    </row>
    <row r="119">
      <c r="A119" s="17" t="n"/>
      <c r="B119" s="17" t="n"/>
      <c r="C119" s="18" t="n"/>
      <c r="D119" s="19" t="n"/>
      <c r="E119" s="17" t="n"/>
      <c r="F119" s="21">
        <f>IF(OR(B119="",C119=""),"",IFERROR(INT(ROUND(IFERROR(TIMEVALUE(IF(LEN(C119)-LEN(SUBSTITUTE(C119,":",""))=2,"","0:")&amp;C119)*86400,"")/VALUE(SUBSTITUTE(B119,"K","")),0)/60)&amp;":"&amp;TEXT(MOD(ROUND(IFERROR(TIMEVALUE(IF(LEN(C119)-LEN(SUBSTITUTE(C119,":",""))=2,"","0:")&amp;C119)*86400,"")/VALUE(SUBSTITUTE(B119,"K","")),0),60),"00"),""))</f>
        <v/>
      </c>
      <c r="G119" s="21">
        <f>IF(A119="","",IF(COUNTIF(Atletas!$A$2:$A$302,A119)&gt;0,"Sí","No"))</f>
        <v/>
      </c>
    </row>
    <row r="120">
      <c r="A120" s="17" t="n"/>
      <c r="B120" s="17" t="n"/>
      <c r="C120" s="18" t="n"/>
      <c r="D120" s="19" t="n"/>
      <c r="E120" s="17" t="n"/>
      <c r="F120" s="21">
        <f>IF(OR(B120="",C120=""),"",IFERROR(INT(ROUND(IFERROR(TIMEVALUE(IF(LEN(C120)-LEN(SUBSTITUTE(C120,":",""))=2,"","0:")&amp;C120)*86400,"")/VALUE(SUBSTITUTE(B120,"K","")),0)/60)&amp;":"&amp;TEXT(MOD(ROUND(IFERROR(TIMEVALUE(IF(LEN(C120)-LEN(SUBSTITUTE(C120,":",""))=2,"","0:")&amp;C120)*86400,"")/VALUE(SUBSTITUTE(B120,"K","")),0),60),"00"),""))</f>
        <v/>
      </c>
      <c r="G120" s="21">
        <f>IF(A120="","",IF(COUNTIF(Atletas!$A$2:$A$302,A120)&gt;0,"Sí","No"))</f>
        <v/>
      </c>
    </row>
    <row r="121">
      <c r="A121" s="17" t="n"/>
      <c r="B121" s="17" t="n"/>
      <c r="C121" s="18" t="n"/>
      <c r="D121" s="19" t="n"/>
      <c r="E121" s="17" t="n"/>
      <c r="F121" s="21">
        <f>IF(OR(B121="",C121=""),"",IFERROR(INT(ROUND(IFERROR(TIMEVALUE(IF(LEN(C121)-LEN(SUBSTITUTE(C121,":",""))=2,"","0:")&amp;C121)*86400,"")/VALUE(SUBSTITUTE(B121,"K","")),0)/60)&amp;":"&amp;TEXT(MOD(ROUND(IFERROR(TIMEVALUE(IF(LEN(C121)-LEN(SUBSTITUTE(C121,":",""))=2,"","0:")&amp;C121)*86400,"")/VALUE(SUBSTITUTE(B121,"K","")),0),60),"00"),""))</f>
        <v/>
      </c>
      <c r="G121" s="21">
        <f>IF(A121="","",IF(COUNTIF(Atletas!$A$2:$A$302,A121)&gt;0,"Sí","No"))</f>
        <v/>
      </c>
    </row>
    <row r="122">
      <c r="A122" s="17" t="n"/>
      <c r="B122" s="17" t="n"/>
      <c r="C122" s="18" t="n"/>
      <c r="D122" s="19" t="n"/>
      <c r="E122" s="17" t="n"/>
      <c r="F122" s="21">
        <f>IF(OR(B122="",C122=""),"",IFERROR(INT(ROUND(IFERROR(TIMEVALUE(IF(LEN(C122)-LEN(SUBSTITUTE(C122,":",""))=2,"","0:")&amp;C122)*86400,"")/VALUE(SUBSTITUTE(B122,"K","")),0)/60)&amp;":"&amp;TEXT(MOD(ROUND(IFERROR(TIMEVALUE(IF(LEN(C122)-LEN(SUBSTITUTE(C122,":",""))=2,"","0:")&amp;C122)*86400,"")/VALUE(SUBSTITUTE(B122,"K","")),0),60),"00"),""))</f>
        <v/>
      </c>
      <c r="G122" s="21">
        <f>IF(A122="","",IF(COUNTIF(Atletas!$A$2:$A$302,A122)&gt;0,"Sí","No"))</f>
        <v/>
      </c>
    </row>
    <row r="123">
      <c r="A123" s="17" t="n"/>
      <c r="B123" s="17" t="n"/>
      <c r="C123" s="18" t="n"/>
      <c r="D123" s="19" t="n"/>
      <c r="E123" s="17" t="n"/>
      <c r="F123" s="21">
        <f>IF(OR(B123="",C123=""),"",IFERROR(INT(ROUND(IFERROR(TIMEVALUE(IF(LEN(C123)-LEN(SUBSTITUTE(C123,":",""))=2,"","0:")&amp;C123)*86400,"")/VALUE(SUBSTITUTE(B123,"K","")),0)/60)&amp;":"&amp;TEXT(MOD(ROUND(IFERROR(TIMEVALUE(IF(LEN(C123)-LEN(SUBSTITUTE(C123,":",""))=2,"","0:")&amp;C123)*86400,"")/VALUE(SUBSTITUTE(B123,"K","")),0),60),"00"),""))</f>
        <v/>
      </c>
      <c r="G123" s="21">
        <f>IF(A123="","",IF(COUNTIF(Atletas!$A$2:$A$302,A123)&gt;0,"Sí","No"))</f>
        <v/>
      </c>
    </row>
    <row r="124">
      <c r="A124" s="17" t="n"/>
      <c r="B124" s="17" t="n"/>
      <c r="C124" s="18" t="n"/>
      <c r="D124" s="19" t="n"/>
      <c r="E124" s="17" t="n"/>
      <c r="F124" s="21">
        <f>IF(OR(B124="",C124=""),"",IFERROR(INT(ROUND(IFERROR(TIMEVALUE(IF(LEN(C124)-LEN(SUBSTITUTE(C124,":",""))=2,"","0:")&amp;C124)*86400,"")/VALUE(SUBSTITUTE(B124,"K","")),0)/60)&amp;":"&amp;TEXT(MOD(ROUND(IFERROR(TIMEVALUE(IF(LEN(C124)-LEN(SUBSTITUTE(C124,":",""))=2,"","0:")&amp;C124)*86400,"")/VALUE(SUBSTITUTE(B124,"K","")),0),60),"00"),""))</f>
        <v/>
      </c>
      <c r="G124" s="21">
        <f>IF(A124="","",IF(COUNTIF(Atletas!$A$2:$A$302,A124)&gt;0,"Sí","No"))</f>
        <v/>
      </c>
    </row>
    <row r="125">
      <c r="A125" s="17" t="n"/>
      <c r="B125" s="17" t="n"/>
      <c r="C125" s="18" t="n"/>
      <c r="D125" s="19" t="n"/>
      <c r="E125" s="17" t="n"/>
      <c r="F125" s="21">
        <f>IF(OR(B125="",C125=""),"",IFERROR(INT(ROUND(IFERROR(TIMEVALUE(IF(LEN(C125)-LEN(SUBSTITUTE(C125,":",""))=2,"","0:")&amp;C125)*86400,"")/VALUE(SUBSTITUTE(B125,"K","")),0)/60)&amp;":"&amp;TEXT(MOD(ROUND(IFERROR(TIMEVALUE(IF(LEN(C125)-LEN(SUBSTITUTE(C125,":",""))=2,"","0:")&amp;C125)*86400,"")/VALUE(SUBSTITUTE(B125,"K","")),0),60),"00"),""))</f>
        <v/>
      </c>
      <c r="G125" s="21">
        <f>IF(A125="","",IF(COUNTIF(Atletas!$A$2:$A$302,A125)&gt;0,"Sí","No"))</f>
        <v/>
      </c>
    </row>
    <row r="126">
      <c r="A126" s="17" t="n"/>
      <c r="B126" s="17" t="n"/>
      <c r="C126" s="18" t="n"/>
      <c r="D126" s="19" t="n"/>
      <c r="E126" s="17" t="n"/>
      <c r="F126" s="21">
        <f>IF(OR(B126="",C126=""),"",IFERROR(INT(ROUND(IFERROR(TIMEVALUE(IF(LEN(C126)-LEN(SUBSTITUTE(C126,":",""))=2,"","0:")&amp;C126)*86400,"")/VALUE(SUBSTITUTE(B126,"K","")),0)/60)&amp;":"&amp;TEXT(MOD(ROUND(IFERROR(TIMEVALUE(IF(LEN(C126)-LEN(SUBSTITUTE(C126,":",""))=2,"","0:")&amp;C126)*86400,"")/VALUE(SUBSTITUTE(B126,"K","")),0),60),"00"),""))</f>
        <v/>
      </c>
      <c r="G126" s="21">
        <f>IF(A126="","",IF(COUNTIF(Atletas!$A$2:$A$302,A126)&gt;0,"Sí","No"))</f>
        <v/>
      </c>
    </row>
    <row r="127">
      <c r="A127" s="17" t="n"/>
      <c r="B127" s="17" t="n"/>
      <c r="C127" s="18" t="n"/>
      <c r="D127" s="19" t="n"/>
      <c r="E127" s="17" t="n"/>
      <c r="F127" s="21">
        <f>IF(OR(B127="",C127=""),"",IFERROR(INT(ROUND(IFERROR(TIMEVALUE(IF(LEN(C127)-LEN(SUBSTITUTE(C127,":",""))=2,"","0:")&amp;C127)*86400,"")/VALUE(SUBSTITUTE(B127,"K","")),0)/60)&amp;":"&amp;TEXT(MOD(ROUND(IFERROR(TIMEVALUE(IF(LEN(C127)-LEN(SUBSTITUTE(C127,":",""))=2,"","0:")&amp;C127)*86400,"")/VALUE(SUBSTITUTE(B127,"K","")),0),60),"00"),""))</f>
        <v/>
      </c>
      <c r="G127" s="21">
        <f>IF(A127="","",IF(COUNTIF(Atletas!$A$2:$A$302,A127)&gt;0,"Sí","No"))</f>
        <v/>
      </c>
    </row>
    <row r="128">
      <c r="A128" s="17" t="n"/>
      <c r="B128" s="17" t="n"/>
      <c r="C128" s="18" t="n"/>
      <c r="D128" s="19" t="n"/>
      <c r="E128" s="17" t="n"/>
      <c r="F128" s="21">
        <f>IF(OR(B128="",C128=""),"",IFERROR(INT(ROUND(IFERROR(TIMEVALUE(IF(LEN(C128)-LEN(SUBSTITUTE(C128,":",""))=2,"","0:")&amp;C128)*86400,"")/VALUE(SUBSTITUTE(B128,"K","")),0)/60)&amp;":"&amp;TEXT(MOD(ROUND(IFERROR(TIMEVALUE(IF(LEN(C128)-LEN(SUBSTITUTE(C128,":",""))=2,"","0:")&amp;C128)*86400,"")/VALUE(SUBSTITUTE(B128,"K","")),0),60),"00"),""))</f>
        <v/>
      </c>
      <c r="G128" s="21">
        <f>IF(A128="","",IF(COUNTIF(Atletas!$A$2:$A$302,A128)&gt;0,"Sí","No"))</f>
        <v/>
      </c>
    </row>
    <row r="129">
      <c r="A129" s="17" t="n"/>
      <c r="B129" s="17" t="n"/>
      <c r="C129" s="18" t="n"/>
      <c r="D129" s="19" t="n"/>
      <c r="E129" s="17" t="n"/>
      <c r="F129" s="21">
        <f>IF(OR(B129="",C129=""),"",IFERROR(INT(ROUND(IFERROR(TIMEVALUE(IF(LEN(C129)-LEN(SUBSTITUTE(C129,":",""))=2,"","0:")&amp;C129)*86400,"")/VALUE(SUBSTITUTE(B129,"K","")),0)/60)&amp;":"&amp;TEXT(MOD(ROUND(IFERROR(TIMEVALUE(IF(LEN(C129)-LEN(SUBSTITUTE(C129,":",""))=2,"","0:")&amp;C129)*86400,"")/VALUE(SUBSTITUTE(B129,"K","")),0),60),"00"),""))</f>
        <v/>
      </c>
      <c r="G129" s="21">
        <f>IF(A129="","",IF(COUNTIF(Atletas!$A$2:$A$302,A129)&gt;0,"Sí","No"))</f>
        <v/>
      </c>
    </row>
    <row r="130">
      <c r="A130" s="17" t="n"/>
      <c r="B130" s="17" t="n"/>
      <c r="C130" s="18" t="n"/>
      <c r="D130" s="19" t="n"/>
      <c r="E130" s="17" t="n"/>
      <c r="F130" s="21">
        <f>IF(OR(B130="",C130=""),"",IFERROR(INT(ROUND(IFERROR(TIMEVALUE(IF(LEN(C130)-LEN(SUBSTITUTE(C130,":",""))=2,"","0:")&amp;C130)*86400,"")/VALUE(SUBSTITUTE(B130,"K","")),0)/60)&amp;":"&amp;TEXT(MOD(ROUND(IFERROR(TIMEVALUE(IF(LEN(C130)-LEN(SUBSTITUTE(C130,":",""))=2,"","0:")&amp;C130)*86400,"")/VALUE(SUBSTITUTE(B130,"K","")),0),60),"00"),""))</f>
        <v/>
      </c>
      <c r="G130" s="21">
        <f>IF(A130="","",IF(COUNTIF(Atletas!$A$2:$A$302,A130)&gt;0,"Sí","No"))</f>
        <v/>
      </c>
    </row>
    <row r="131">
      <c r="A131" s="17" t="n"/>
      <c r="B131" s="17" t="n"/>
      <c r="C131" s="18" t="n"/>
      <c r="D131" s="19" t="n"/>
      <c r="E131" s="17" t="n"/>
      <c r="F131" s="21">
        <f>IF(OR(B131="",C131=""),"",IFERROR(INT(ROUND(IFERROR(TIMEVALUE(IF(LEN(C131)-LEN(SUBSTITUTE(C131,":",""))=2,"","0:")&amp;C131)*86400,"")/VALUE(SUBSTITUTE(B131,"K","")),0)/60)&amp;":"&amp;TEXT(MOD(ROUND(IFERROR(TIMEVALUE(IF(LEN(C131)-LEN(SUBSTITUTE(C131,":",""))=2,"","0:")&amp;C131)*86400,"")/VALUE(SUBSTITUTE(B131,"K","")),0),60),"00"),""))</f>
        <v/>
      </c>
      <c r="G131" s="21">
        <f>IF(A131="","",IF(COUNTIF(Atletas!$A$2:$A$302,A131)&gt;0,"Sí","No"))</f>
        <v/>
      </c>
    </row>
    <row r="132">
      <c r="A132" s="17" t="n"/>
      <c r="B132" s="17" t="n"/>
      <c r="C132" s="18" t="n"/>
      <c r="D132" s="19" t="n"/>
      <c r="E132" s="17" t="n"/>
      <c r="F132" s="21">
        <f>IF(OR(B132="",C132=""),"",IFERROR(INT(ROUND(IFERROR(TIMEVALUE(IF(LEN(C132)-LEN(SUBSTITUTE(C132,":",""))=2,"","0:")&amp;C132)*86400,"")/VALUE(SUBSTITUTE(B132,"K","")),0)/60)&amp;":"&amp;TEXT(MOD(ROUND(IFERROR(TIMEVALUE(IF(LEN(C132)-LEN(SUBSTITUTE(C132,":",""))=2,"","0:")&amp;C132)*86400,"")/VALUE(SUBSTITUTE(B132,"K","")),0),60),"00"),""))</f>
        <v/>
      </c>
      <c r="G132" s="21">
        <f>IF(A132="","",IF(COUNTIF(Atletas!$A$2:$A$302,A132)&gt;0,"Sí","No"))</f>
        <v/>
      </c>
    </row>
    <row r="133">
      <c r="A133" s="17" t="n"/>
      <c r="B133" s="17" t="n"/>
      <c r="C133" s="18" t="n"/>
      <c r="D133" s="19" t="n"/>
      <c r="E133" s="17" t="n"/>
      <c r="F133" s="21">
        <f>IF(OR(B133="",C133=""),"",IFERROR(INT(ROUND(IFERROR(TIMEVALUE(IF(LEN(C133)-LEN(SUBSTITUTE(C133,":",""))=2,"","0:")&amp;C133)*86400,"")/VALUE(SUBSTITUTE(B133,"K","")),0)/60)&amp;":"&amp;TEXT(MOD(ROUND(IFERROR(TIMEVALUE(IF(LEN(C133)-LEN(SUBSTITUTE(C133,":",""))=2,"","0:")&amp;C133)*86400,"")/VALUE(SUBSTITUTE(B133,"K","")),0),60),"00"),""))</f>
        <v/>
      </c>
      <c r="G133" s="21">
        <f>IF(A133="","",IF(COUNTIF(Atletas!$A$2:$A$302,A133)&gt;0,"Sí","No"))</f>
        <v/>
      </c>
    </row>
    <row r="134">
      <c r="A134" s="17" t="n"/>
      <c r="B134" s="17" t="n"/>
      <c r="C134" s="18" t="n"/>
      <c r="D134" s="19" t="n"/>
      <c r="E134" s="17" t="n"/>
      <c r="F134" s="21">
        <f>IF(OR(B134="",C134=""),"",IFERROR(INT(ROUND(IFERROR(TIMEVALUE(IF(LEN(C134)-LEN(SUBSTITUTE(C134,":",""))=2,"","0:")&amp;C134)*86400,"")/VALUE(SUBSTITUTE(B134,"K","")),0)/60)&amp;":"&amp;TEXT(MOD(ROUND(IFERROR(TIMEVALUE(IF(LEN(C134)-LEN(SUBSTITUTE(C134,":",""))=2,"","0:")&amp;C134)*86400,"")/VALUE(SUBSTITUTE(B134,"K","")),0),60),"00"),""))</f>
        <v/>
      </c>
      <c r="G134" s="21">
        <f>IF(A134="","",IF(COUNTIF(Atletas!$A$2:$A$302,A134)&gt;0,"Sí","No"))</f>
        <v/>
      </c>
    </row>
    <row r="135">
      <c r="A135" s="17" t="n"/>
      <c r="B135" s="17" t="n"/>
      <c r="C135" s="18" t="n"/>
      <c r="D135" s="19" t="n"/>
      <c r="E135" s="17" t="n"/>
      <c r="F135" s="21">
        <f>IF(OR(B135="",C135=""),"",IFERROR(INT(ROUND(IFERROR(TIMEVALUE(IF(LEN(C135)-LEN(SUBSTITUTE(C135,":",""))=2,"","0:")&amp;C135)*86400,"")/VALUE(SUBSTITUTE(B135,"K","")),0)/60)&amp;":"&amp;TEXT(MOD(ROUND(IFERROR(TIMEVALUE(IF(LEN(C135)-LEN(SUBSTITUTE(C135,":",""))=2,"","0:")&amp;C135)*86400,"")/VALUE(SUBSTITUTE(B135,"K","")),0),60),"00"),""))</f>
        <v/>
      </c>
      <c r="G135" s="21">
        <f>IF(A135="","",IF(COUNTIF(Atletas!$A$2:$A$302,A135)&gt;0,"Sí","No"))</f>
        <v/>
      </c>
    </row>
    <row r="136">
      <c r="A136" s="17" t="n"/>
      <c r="B136" s="17" t="n"/>
      <c r="C136" s="18" t="n"/>
      <c r="D136" s="19" t="n"/>
      <c r="E136" s="17" t="n"/>
      <c r="F136" s="21">
        <f>IF(OR(B136="",C136=""),"",IFERROR(INT(ROUND(IFERROR(TIMEVALUE(IF(LEN(C136)-LEN(SUBSTITUTE(C136,":",""))=2,"","0:")&amp;C136)*86400,"")/VALUE(SUBSTITUTE(B136,"K","")),0)/60)&amp;":"&amp;TEXT(MOD(ROUND(IFERROR(TIMEVALUE(IF(LEN(C136)-LEN(SUBSTITUTE(C136,":",""))=2,"","0:")&amp;C136)*86400,"")/VALUE(SUBSTITUTE(B136,"K","")),0),60),"00"),""))</f>
        <v/>
      </c>
      <c r="G136" s="21">
        <f>IF(A136="","",IF(COUNTIF(Atletas!$A$2:$A$302,A136)&gt;0,"Sí","No"))</f>
        <v/>
      </c>
    </row>
    <row r="137">
      <c r="A137" s="17" t="n"/>
      <c r="B137" s="17" t="n"/>
      <c r="C137" s="18" t="n"/>
      <c r="D137" s="19" t="n"/>
      <c r="E137" s="17" t="n"/>
      <c r="F137" s="21">
        <f>IF(OR(B137="",C137=""),"",IFERROR(INT(ROUND(IFERROR(TIMEVALUE(IF(LEN(C137)-LEN(SUBSTITUTE(C137,":",""))=2,"","0:")&amp;C137)*86400,"")/VALUE(SUBSTITUTE(B137,"K","")),0)/60)&amp;":"&amp;TEXT(MOD(ROUND(IFERROR(TIMEVALUE(IF(LEN(C137)-LEN(SUBSTITUTE(C137,":",""))=2,"","0:")&amp;C137)*86400,"")/VALUE(SUBSTITUTE(B137,"K","")),0),60),"00"),""))</f>
        <v/>
      </c>
      <c r="G137" s="21">
        <f>IF(A137="","",IF(COUNTIF(Atletas!$A$2:$A$302,A137)&gt;0,"Sí","No"))</f>
        <v/>
      </c>
    </row>
    <row r="138">
      <c r="A138" s="17" t="n"/>
      <c r="B138" s="17" t="n"/>
      <c r="C138" s="18" t="n"/>
      <c r="D138" s="19" t="n"/>
      <c r="E138" s="17" t="n"/>
      <c r="F138" s="21">
        <f>IF(OR(B138="",C138=""),"",IFERROR(INT(ROUND(IFERROR(TIMEVALUE(IF(LEN(C138)-LEN(SUBSTITUTE(C138,":",""))=2,"","0:")&amp;C138)*86400,"")/VALUE(SUBSTITUTE(B138,"K","")),0)/60)&amp;":"&amp;TEXT(MOD(ROUND(IFERROR(TIMEVALUE(IF(LEN(C138)-LEN(SUBSTITUTE(C138,":",""))=2,"","0:")&amp;C138)*86400,"")/VALUE(SUBSTITUTE(B138,"K","")),0),60),"00"),""))</f>
        <v/>
      </c>
      <c r="G138" s="21">
        <f>IF(A138="","",IF(COUNTIF(Atletas!$A$2:$A$302,A138)&gt;0,"Sí","No"))</f>
        <v/>
      </c>
    </row>
    <row r="139">
      <c r="A139" s="17" t="n"/>
      <c r="B139" s="17" t="n"/>
      <c r="C139" s="18" t="n"/>
      <c r="D139" s="19" t="n"/>
      <c r="E139" s="17" t="n"/>
      <c r="F139" s="21">
        <f>IF(OR(B139="",C139=""),"",IFERROR(INT(ROUND(IFERROR(TIMEVALUE(IF(LEN(C139)-LEN(SUBSTITUTE(C139,":",""))=2,"","0:")&amp;C139)*86400,"")/VALUE(SUBSTITUTE(B139,"K","")),0)/60)&amp;":"&amp;TEXT(MOD(ROUND(IFERROR(TIMEVALUE(IF(LEN(C139)-LEN(SUBSTITUTE(C139,":",""))=2,"","0:")&amp;C139)*86400,"")/VALUE(SUBSTITUTE(B139,"K","")),0),60),"00"),""))</f>
        <v/>
      </c>
      <c r="G139" s="21">
        <f>IF(A139="","",IF(COUNTIF(Atletas!$A$2:$A$302,A139)&gt;0,"Sí","No"))</f>
        <v/>
      </c>
    </row>
    <row r="140">
      <c r="A140" s="17" t="n"/>
      <c r="B140" s="17" t="n"/>
      <c r="C140" s="18" t="n"/>
      <c r="D140" s="19" t="n"/>
      <c r="E140" s="17" t="n"/>
      <c r="F140" s="21">
        <f>IF(OR(B140="",C140=""),"",IFERROR(INT(ROUND(IFERROR(TIMEVALUE(IF(LEN(C140)-LEN(SUBSTITUTE(C140,":",""))=2,"","0:")&amp;C140)*86400,"")/VALUE(SUBSTITUTE(B140,"K","")),0)/60)&amp;":"&amp;TEXT(MOD(ROUND(IFERROR(TIMEVALUE(IF(LEN(C140)-LEN(SUBSTITUTE(C140,":",""))=2,"","0:")&amp;C140)*86400,"")/VALUE(SUBSTITUTE(B140,"K","")),0),60),"00"),""))</f>
        <v/>
      </c>
      <c r="G140" s="21">
        <f>IF(A140="","",IF(COUNTIF(Atletas!$A$2:$A$302,A140)&gt;0,"Sí","No"))</f>
        <v/>
      </c>
    </row>
    <row r="141">
      <c r="A141" s="17" t="n"/>
      <c r="B141" s="17" t="n"/>
      <c r="C141" s="18" t="n"/>
      <c r="D141" s="19" t="n"/>
      <c r="E141" s="17" t="n"/>
      <c r="F141" s="21">
        <f>IF(OR(B141="",C141=""),"",IFERROR(INT(ROUND(IFERROR(TIMEVALUE(IF(LEN(C141)-LEN(SUBSTITUTE(C141,":",""))=2,"","0:")&amp;C141)*86400,"")/VALUE(SUBSTITUTE(B141,"K","")),0)/60)&amp;":"&amp;TEXT(MOD(ROUND(IFERROR(TIMEVALUE(IF(LEN(C141)-LEN(SUBSTITUTE(C141,":",""))=2,"","0:")&amp;C141)*86400,"")/VALUE(SUBSTITUTE(B141,"K","")),0),60),"00"),""))</f>
        <v/>
      </c>
      <c r="G141" s="21">
        <f>IF(A141="","",IF(COUNTIF(Atletas!$A$2:$A$302,A141)&gt;0,"Sí","No"))</f>
        <v/>
      </c>
    </row>
    <row r="142">
      <c r="A142" s="17" t="n"/>
      <c r="B142" s="17" t="n"/>
      <c r="C142" s="18" t="n"/>
      <c r="D142" s="19" t="n"/>
      <c r="E142" s="17" t="n"/>
      <c r="F142" s="21">
        <f>IF(OR(B142="",C142=""),"",IFERROR(INT(ROUND(IFERROR(TIMEVALUE(IF(LEN(C142)-LEN(SUBSTITUTE(C142,":",""))=2,"","0:")&amp;C142)*86400,"")/VALUE(SUBSTITUTE(B142,"K","")),0)/60)&amp;":"&amp;TEXT(MOD(ROUND(IFERROR(TIMEVALUE(IF(LEN(C142)-LEN(SUBSTITUTE(C142,":",""))=2,"","0:")&amp;C142)*86400,"")/VALUE(SUBSTITUTE(B142,"K","")),0),60),"00"),""))</f>
        <v/>
      </c>
      <c r="G142" s="21">
        <f>IF(A142="","",IF(COUNTIF(Atletas!$A$2:$A$302,A142)&gt;0,"Sí","No"))</f>
        <v/>
      </c>
    </row>
    <row r="143">
      <c r="A143" s="17" t="n"/>
      <c r="B143" s="17" t="n"/>
      <c r="C143" s="18" t="n"/>
      <c r="D143" s="19" t="n"/>
      <c r="E143" s="17" t="n"/>
      <c r="F143" s="21">
        <f>IF(OR(B143="",C143=""),"",IFERROR(INT(ROUND(IFERROR(TIMEVALUE(IF(LEN(C143)-LEN(SUBSTITUTE(C143,":",""))=2,"","0:")&amp;C143)*86400,"")/VALUE(SUBSTITUTE(B143,"K","")),0)/60)&amp;":"&amp;TEXT(MOD(ROUND(IFERROR(TIMEVALUE(IF(LEN(C143)-LEN(SUBSTITUTE(C143,":",""))=2,"","0:")&amp;C143)*86400,"")/VALUE(SUBSTITUTE(B143,"K","")),0),60),"00"),""))</f>
        <v/>
      </c>
      <c r="G143" s="21">
        <f>IF(A143="","",IF(COUNTIF(Atletas!$A$2:$A$302,A143)&gt;0,"Sí","No"))</f>
        <v/>
      </c>
    </row>
    <row r="144">
      <c r="A144" s="17" t="n"/>
      <c r="B144" s="17" t="n"/>
      <c r="C144" s="18" t="n"/>
      <c r="D144" s="19" t="n"/>
      <c r="E144" s="17" t="n"/>
      <c r="F144" s="21">
        <f>IF(OR(B144="",C144=""),"",IFERROR(INT(ROUND(IFERROR(TIMEVALUE(IF(LEN(C144)-LEN(SUBSTITUTE(C144,":",""))=2,"","0:")&amp;C144)*86400,"")/VALUE(SUBSTITUTE(B144,"K","")),0)/60)&amp;":"&amp;TEXT(MOD(ROUND(IFERROR(TIMEVALUE(IF(LEN(C144)-LEN(SUBSTITUTE(C144,":",""))=2,"","0:")&amp;C144)*86400,"")/VALUE(SUBSTITUTE(B144,"K","")),0),60),"00"),""))</f>
        <v/>
      </c>
      <c r="G144" s="21">
        <f>IF(A144="","",IF(COUNTIF(Atletas!$A$2:$A$302,A144)&gt;0,"Sí","No"))</f>
        <v/>
      </c>
    </row>
    <row r="145">
      <c r="A145" s="17" t="n"/>
      <c r="B145" s="17" t="n"/>
      <c r="C145" s="18" t="n"/>
      <c r="D145" s="19" t="n"/>
      <c r="E145" s="17" t="n"/>
      <c r="F145" s="21">
        <f>IF(OR(B145="",C145=""),"",IFERROR(INT(ROUND(IFERROR(TIMEVALUE(IF(LEN(C145)-LEN(SUBSTITUTE(C145,":",""))=2,"","0:")&amp;C145)*86400,"")/VALUE(SUBSTITUTE(B145,"K","")),0)/60)&amp;":"&amp;TEXT(MOD(ROUND(IFERROR(TIMEVALUE(IF(LEN(C145)-LEN(SUBSTITUTE(C145,":",""))=2,"","0:")&amp;C145)*86400,"")/VALUE(SUBSTITUTE(B145,"K","")),0),60),"00"),""))</f>
        <v/>
      </c>
      <c r="G145" s="21">
        <f>IF(A145="","",IF(COUNTIF(Atletas!$A$2:$A$302,A145)&gt;0,"Sí","No"))</f>
        <v/>
      </c>
    </row>
    <row r="146">
      <c r="A146" s="17" t="n"/>
      <c r="B146" s="17" t="n"/>
      <c r="C146" s="18" t="n"/>
      <c r="D146" s="19" t="n"/>
      <c r="E146" s="17" t="n"/>
      <c r="F146" s="21">
        <f>IF(OR(B146="",C146=""),"",IFERROR(INT(ROUND(IFERROR(TIMEVALUE(IF(LEN(C146)-LEN(SUBSTITUTE(C146,":",""))=2,"","0:")&amp;C146)*86400,"")/VALUE(SUBSTITUTE(B146,"K","")),0)/60)&amp;":"&amp;TEXT(MOD(ROUND(IFERROR(TIMEVALUE(IF(LEN(C146)-LEN(SUBSTITUTE(C146,":",""))=2,"","0:")&amp;C146)*86400,"")/VALUE(SUBSTITUTE(B146,"K","")),0),60),"00"),""))</f>
        <v/>
      </c>
      <c r="G146" s="21">
        <f>IF(A146="","",IF(COUNTIF(Atletas!$A$2:$A$302,A146)&gt;0,"Sí","No"))</f>
        <v/>
      </c>
    </row>
    <row r="147">
      <c r="A147" s="17" t="n"/>
      <c r="B147" s="17" t="n"/>
      <c r="C147" s="18" t="n"/>
      <c r="D147" s="19" t="n"/>
      <c r="E147" s="17" t="n"/>
      <c r="F147" s="21">
        <f>IF(OR(B147="",C147=""),"",IFERROR(INT(ROUND(IFERROR(TIMEVALUE(IF(LEN(C147)-LEN(SUBSTITUTE(C147,":",""))=2,"","0:")&amp;C147)*86400,"")/VALUE(SUBSTITUTE(B147,"K","")),0)/60)&amp;":"&amp;TEXT(MOD(ROUND(IFERROR(TIMEVALUE(IF(LEN(C147)-LEN(SUBSTITUTE(C147,":",""))=2,"","0:")&amp;C147)*86400,"")/VALUE(SUBSTITUTE(B147,"K","")),0),60),"00"),""))</f>
        <v/>
      </c>
      <c r="G147" s="21">
        <f>IF(A147="","",IF(COUNTIF(Atletas!$A$2:$A$302,A147)&gt;0,"Sí","No"))</f>
        <v/>
      </c>
    </row>
    <row r="148">
      <c r="A148" s="17" t="n"/>
      <c r="B148" s="17" t="n"/>
      <c r="C148" s="18" t="n"/>
      <c r="D148" s="19" t="n"/>
      <c r="E148" s="17" t="n"/>
      <c r="F148" s="21">
        <f>IF(OR(B148="",C148=""),"",IFERROR(INT(ROUND(IFERROR(TIMEVALUE(IF(LEN(C148)-LEN(SUBSTITUTE(C148,":",""))=2,"","0:")&amp;C148)*86400,"")/VALUE(SUBSTITUTE(B148,"K","")),0)/60)&amp;":"&amp;TEXT(MOD(ROUND(IFERROR(TIMEVALUE(IF(LEN(C148)-LEN(SUBSTITUTE(C148,":",""))=2,"","0:")&amp;C148)*86400,"")/VALUE(SUBSTITUTE(B148,"K","")),0),60),"00"),""))</f>
        <v/>
      </c>
      <c r="G148" s="21">
        <f>IF(A148="","",IF(COUNTIF(Atletas!$A$2:$A$302,A148)&gt;0,"Sí","No"))</f>
        <v/>
      </c>
    </row>
    <row r="149">
      <c r="A149" s="17" t="n"/>
      <c r="B149" s="17" t="n"/>
      <c r="C149" s="18" t="n"/>
      <c r="D149" s="19" t="n"/>
      <c r="E149" s="17" t="n"/>
      <c r="F149" s="21">
        <f>IF(OR(B149="",C149=""),"",IFERROR(INT(ROUND(IFERROR(TIMEVALUE(IF(LEN(C149)-LEN(SUBSTITUTE(C149,":",""))=2,"","0:")&amp;C149)*86400,"")/VALUE(SUBSTITUTE(B149,"K","")),0)/60)&amp;":"&amp;TEXT(MOD(ROUND(IFERROR(TIMEVALUE(IF(LEN(C149)-LEN(SUBSTITUTE(C149,":",""))=2,"","0:")&amp;C149)*86400,"")/VALUE(SUBSTITUTE(B149,"K","")),0),60),"00"),""))</f>
        <v/>
      </c>
      <c r="G149" s="21">
        <f>IF(A149="","",IF(COUNTIF(Atletas!$A$2:$A$302,A149)&gt;0,"Sí","No"))</f>
        <v/>
      </c>
    </row>
    <row r="150">
      <c r="A150" s="17" t="n"/>
      <c r="B150" s="17" t="n"/>
      <c r="C150" s="18" t="n"/>
      <c r="D150" s="19" t="n"/>
      <c r="E150" s="17" t="n"/>
      <c r="F150" s="21">
        <f>IF(OR(B150="",C150=""),"",IFERROR(INT(ROUND(IFERROR(TIMEVALUE(IF(LEN(C150)-LEN(SUBSTITUTE(C150,":",""))=2,"","0:")&amp;C150)*86400,"")/VALUE(SUBSTITUTE(B150,"K","")),0)/60)&amp;":"&amp;TEXT(MOD(ROUND(IFERROR(TIMEVALUE(IF(LEN(C150)-LEN(SUBSTITUTE(C150,":",""))=2,"","0:")&amp;C150)*86400,"")/VALUE(SUBSTITUTE(B150,"K","")),0),60),"00"),""))</f>
        <v/>
      </c>
      <c r="G150" s="21">
        <f>IF(A150="","",IF(COUNTIF(Atletas!$A$2:$A$302,A150)&gt;0,"Sí","No"))</f>
        <v/>
      </c>
    </row>
    <row r="151">
      <c r="A151" s="17" t="n"/>
      <c r="B151" s="17" t="n"/>
      <c r="C151" s="18" t="n"/>
      <c r="D151" s="19" t="n"/>
      <c r="E151" s="17" t="n"/>
      <c r="F151" s="21">
        <f>IF(OR(B151="",C151=""),"",IFERROR(INT(ROUND(IFERROR(TIMEVALUE(IF(LEN(C151)-LEN(SUBSTITUTE(C151,":",""))=2,"","0:")&amp;C151)*86400,"")/VALUE(SUBSTITUTE(B151,"K","")),0)/60)&amp;":"&amp;TEXT(MOD(ROUND(IFERROR(TIMEVALUE(IF(LEN(C151)-LEN(SUBSTITUTE(C151,":",""))=2,"","0:")&amp;C151)*86400,"")/VALUE(SUBSTITUTE(B151,"K","")),0),60),"00"),""))</f>
        <v/>
      </c>
      <c r="G151" s="21">
        <f>IF(A151="","",IF(COUNTIF(Atletas!$A$2:$A$302,A151)&gt;0,"Sí","No"))</f>
        <v/>
      </c>
    </row>
    <row r="152">
      <c r="A152" s="17" t="n"/>
      <c r="B152" s="17" t="n"/>
      <c r="C152" s="18" t="n"/>
      <c r="D152" s="19" t="n"/>
      <c r="E152" s="17" t="n"/>
      <c r="F152" s="21">
        <f>IF(OR(B152="",C152=""),"",IFERROR(INT(ROUND(IFERROR(TIMEVALUE(IF(LEN(C152)-LEN(SUBSTITUTE(C152,":",""))=2,"","0:")&amp;C152)*86400,"")/VALUE(SUBSTITUTE(B152,"K","")),0)/60)&amp;":"&amp;TEXT(MOD(ROUND(IFERROR(TIMEVALUE(IF(LEN(C152)-LEN(SUBSTITUTE(C152,":",""))=2,"","0:")&amp;C152)*86400,"")/VALUE(SUBSTITUTE(B152,"K","")),0),60),"00"),""))</f>
        <v/>
      </c>
      <c r="G152" s="21">
        <f>IF(A152="","",IF(COUNTIF(Atletas!$A$2:$A$302,A152)&gt;0,"Sí","No"))</f>
        <v/>
      </c>
    </row>
    <row r="153">
      <c r="A153" s="17" t="n"/>
      <c r="B153" s="17" t="n"/>
      <c r="C153" s="18" t="n"/>
      <c r="D153" s="19" t="n"/>
      <c r="E153" s="17" t="n"/>
      <c r="F153" s="21">
        <f>IF(OR(B153="",C153=""),"",IFERROR(INT(ROUND(IFERROR(TIMEVALUE(IF(LEN(C153)-LEN(SUBSTITUTE(C153,":",""))=2,"","0:")&amp;C153)*86400,"")/VALUE(SUBSTITUTE(B153,"K","")),0)/60)&amp;":"&amp;TEXT(MOD(ROUND(IFERROR(TIMEVALUE(IF(LEN(C153)-LEN(SUBSTITUTE(C153,":",""))=2,"","0:")&amp;C153)*86400,"")/VALUE(SUBSTITUTE(B153,"K","")),0),60),"00"),""))</f>
        <v/>
      </c>
      <c r="G153" s="21">
        <f>IF(A153="","",IF(COUNTIF(Atletas!$A$2:$A$302,A153)&gt;0,"Sí","No"))</f>
        <v/>
      </c>
    </row>
    <row r="154">
      <c r="A154" s="17" t="n"/>
      <c r="B154" s="17" t="n"/>
      <c r="C154" s="18" t="n"/>
      <c r="D154" s="19" t="n"/>
      <c r="E154" s="17" t="n"/>
      <c r="F154" s="21">
        <f>IF(OR(B154="",C154=""),"",IFERROR(INT(ROUND(IFERROR(TIMEVALUE(IF(LEN(C154)-LEN(SUBSTITUTE(C154,":",""))=2,"","0:")&amp;C154)*86400,"")/VALUE(SUBSTITUTE(B154,"K","")),0)/60)&amp;":"&amp;TEXT(MOD(ROUND(IFERROR(TIMEVALUE(IF(LEN(C154)-LEN(SUBSTITUTE(C154,":",""))=2,"","0:")&amp;C154)*86400,"")/VALUE(SUBSTITUTE(B154,"K","")),0),60),"00"),""))</f>
        <v/>
      </c>
      <c r="G154" s="21">
        <f>IF(A154="","",IF(COUNTIF(Atletas!$A$2:$A$302,A154)&gt;0,"Sí","No"))</f>
        <v/>
      </c>
    </row>
    <row r="155">
      <c r="A155" s="17" t="n"/>
      <c r="B155" s="17" t="n"/>
      <c r="C155" s="18" t="n"/>
      <c r="D155" s="19" t="n"/>
      <c r="E155" s="17" t="n"/>
      <c r="F155" s="21">
        <f>IF(OR(B155="",C155=""),"",IFERROR(INT(ROUND(IFERROR(TIMEVALUE(IF(LEN(C155)-LEN(SUBSTITUTE(C155,":",""))=2,"","0:")&amp;C155)*86400,"")/VALUE(SUBSTITUTE(B155,"K","")),0)/60)&amp;":"&amp;TEXT(MOD(ROUND(IFERROR(TIMEVALUE(IF(LEN(C155)-LEN(SUBSTITUTE(C155,":",""))=2,"","0:")&amp;C155)*86400,"")/VALUE(SUBSTITUTE(B155,"K","")),0),60),"00"),""))</f>
        <v/>
      </c>
      <c r="G155" s="21">
        <f>IF(A155="","",IF(COUNTIF(Atletas!$A$2:$A$302,A155)&gt;0,"Sí","No"))</f>
        <v/>
      </c>
    </row>
    <row r="156">
      <c r="A156" s="17" t="n"/>
      <c r="B156" s="17" t="n"/>
      <c r="C156" s="18" t="n"/>
      <c r="D156" s="19" t="n"/>
      <c r="E156" s="17" t="n"/>
      <c r="F156" s="21">
        <f>IF(OR(B156="",C156=""),"",IFERROR(INT(ROUND(IFERROR(TIMEVALUE(IF(LEN(C156)-LEN(SUBSTITUTE(C156,":",""))=2,"","0:")&amp;C156)*86400,"")/VALUE(SUBSTITUTE(B156,"K","")),0)/60)&amp;":"&amp;TEXT(MOD(ROUND(IFERROR(TIMEVALUE(IF(LEN(C156)-LEN(SUBSTITUTE(C156,":",""))=2,"","0:")&amp;C156)*86400,"")/VALUE(SUBSTITUTE(B156,"K","")),0),60),"00"),""))</f>
        <v/>
      </c>
      <c r="G156" s="21">
        <f>IF(A156="","",IF(COUNTIF(Atletas!$A$2:$A$302,A156)&gt;0,"Sí","No"))</f>
        <v/>
      </c>
    </row>
    <row r="157">
      <c r="A157" s="17" t="n"/>
      <c r="B157" s="17" t="n"/>
      <c r="C157" s="18" t="n"/>
      <c r="D157" s="19" t="n"/>
      <c r="E157" s="17" t="n"/>
      <c r="F157" s="21">
        <f>IF(OR(B157="",C157=""),"",IFERROR(INT(ROUND(IFERROR(TIMEVALUE(IF(LEN(C157)-LEN(SUBSTITUTE(C157,":",""))=2,"","0:")&amp;C157)*86400,"")/VALUE(SUBSTITUTE(B157,"K","")),0)/60)&amp;":"&amp;TEXT(MOD(ROUND(IFERROR(TIMEVALUE(IF(LEN(C157)-LEN(SUBSTITUTE(C157,":",""))=2,"","0:")&amp;C157)*86400,"")/VALUE(SUBSTITUTE(B157,"K","")),0),60),"00"),""))</f>
        <v/>
      </c>
      <c r="G157" s="21">
        <f>IF(A157="","",IF(COUNTIF(Atletas!$A$2:$A$302,A157)&gt;0,"Sí","No"))</f>
        <v/>
      </c>
    </row>
    <row r="158">
      <c r="A158" s="17" t="n"/>
      <c r="B158" s="17" t="n"/>
      <c r="C158" s="18" t="n"/>
      <c r="D158" s="19" t="n"/>
      <c r="E158" s="17" t="n"/>
      <c r="F158" s="21">
        <f>IF(OR(B158="",C158=""),"",IFERROR(INT(ROUND(IFERROR(TIMEVALUE(IF(LEN(C158)-LEN(SUBSTITUTE(C158,":",""))=2,"","0:")&amp;C158)*86400,"")/VALUE(SUBSTITUTE(B158,"K","")),0)/60)&amp;":"&amp;TEXT(MOD(ROUND(IFERROR(TIMEVALUE(IF(LEN(C158)-LEN(SUBSTITUTE(C158,":",""))=2,"","0:")&amp;C158)*86400,"")/VALUE(SUBSTITUTE(B158,"K","")),0),60),"00"),""))</f>
        <v/>
      </c>
      <c r="G158" s="21">
        <f>IF(A158="","",IF(COUNTIF(Atletas!$A$2:$A$302,A158)&gt;0,"Sí","No"))</f>
        <v/>
      </c>
    </row>
    <row r="159">
      <c r="A159" s="17" t="n"/>
      <c r="B159" s="17" t="n"/>
      <c r="C159" s="18" t="n"/>
      <c r="D159" s="19" t="n"/>
      <c r="E159" s="17" t="n"/>
      <c r="F159" s="21">
        <f>IF(OR(B159="",C159=""),"",IFERROR(INT(ROUND(IFERROR(TIMEVALUE(IF(LEN(C159)-LEN(SUBSTITUTE(C159,":",""))=2,"","0:")&amp;C159)*86400,"")/VALUE(SUBSTITUTE(B159,"K","")),0)/60)&amp;":"&amp;TEXT(MOD(ROUND(IFERROR(TIMEVALUE(IF(LEN(C159)-LEN(SUBSTITUTE(C159,":",""))=2,"","0:")&amp;C159)*86400,"")/VALUE(SUBSTITUTE(B159,"K","")),0),60),"00"),""))</f>
        <v/>
      </c>
      <c r="G159" s="21">
        <f>IF(A159="","",IF(COUNTIF(Atletas!$A$2:$A$302,A159)&gt;0,"Sí","No"))</f>
        <v/>
      </c>
    </row>
    <row r="160">
      <c r="A160" s="17" t="n"/>
      <c r="B160" s="17" t="n"/>
      <c r="C160" s="18" t="n"/>
      <c r="D160" s="19" t="n"/>
      <c r="E160" s="17" t="n"/>
      <c r="F160" s="21">
        <f>IF(OR(B160="",C160=""),"",IFERROR(INT(ROUND(IFERROR(TIMEVALUE(IF(LEN(C160)-LEN(SUBSTITUTE(C160,":",""))=2,"","0:")&amp;C160)*86400,"")/VALUE(SUBSTITUTE(B160,"K","")),0)/60)&amp;":"&amp;TEXT(MOD(ROUND(IFERROR(TIMEVALUE(IF(LEN(C160)-LEN(SUBSTITUTE(C160,":",""))=2,"","0:")&amp;C160)*86400,"")/VALUE(SUBSTITUTE(B160,"K","")),0),60),"00"),""))</f>
        <v/>
      </c>
      <c r="G160" s="21">
        <f>IF(A160="","",IF(COUNTIF(Atletas!$A$2:$A$302,A160)&gt;0,"Sí","No"))</f>
        <v/>
      </c>
    </row>
    <row r="161">
      <c r="A161" s="17" t="n"/>
      <c r="B161" s="17" t="n"/>
      <c r="C161" s="18" t="n"/>
      <c r="D161" s="19" t="n"/>
      <c r="E161" s="17" t="n"/>
      <c r="F161" s="21">
        <f>IF(OR(B161="",C161=""),"",IFERROR(INT(ROUND(IFERROR(TIMEVALUE(IF(LEN(C161)-LEN(SUBSTITUTE(C161,":",""))=2,"","0:")&amp;C161)*86400,"")/VALUE(SUBSTITUTE(B161,"K","")),0)/60)&amp;":"&amp;TEXT(MOD(ROUND(IFERROR(TIMEVALUE(IF(LEN(C161)-LEN(SUBSTITUTE(C161,":",""))=2,"","0:")&amp;C161)*86400,"")/VALUE(SUBSTITUTE(B161,"K","")),0),60),"00"),""))</f>
        <v/>
      </c>
      <c r="G161" s="21">
        <f>IF(A161="","",IF(COUNTIF(Atletas!$A$2:$A$302,A161)&gt;0,"Sí","No"))</f>
        <v/>
      </c>
    </row>
    <row r="162">
      <c r="A162" s="17" t="n"/>
      <c r="B162" s="17" t="n"/>
      <c r="C162" s="18" t="n"/>
      <c r="D162" s="19" t="n"/>
      <c r="E162" s="17" t="n"/>
      <c r="F162" s="21">
        <f>IF(OR(B162="",C162=""),"",IFERROR(INT(ROUND(IFERROR(TIMEVALUE(IF(LEN(C162)-LEN(SUBSTITUTE(C162,":",""))=2,"","0:")&amp;C162)*86400,"")/VALUE(SUBSTITUTE(B162,"K","")),0)/60)&amp;":"&amp;TEXT(MOD(ROUND(IFERROR(TIMEVALUE(IF(LEN(C162)-LEN(SUBSTITUTE(C162,":",""))=2,"","0:")&amp;C162)*86400,"")/VALUE(SUBSTITUTE(B162,"K","")),0),60),"00"),""))</f>
        <v/>
      </c>
      <c r="G162" s="21">
        <f>IF(A162="","",IF(COUNTIF(Atletas!$A$2:$A$302,A162)&gt;0,"Sí","No"))</f>
        <v/>
      </c>
    </row>
    <row r="163">
      <c r="A163" s="17" t="n"/>
      <c r="B163" s="17" t="n"/>
      <c r="C163" s="18" t="n"/>
      <c r="D163" s="19" t="n"/>
      <c r="E163" s="17" t="n"/>
      <c r="F163" s="21">
        <f>IF(OR(B163="",C163=""),"",IFERROR(INT(ROUND(IFERROR(TIMEVALUE(IF(LEN(C163)-LEN(SUBSTITUTE(C163,":",""))=2,"","0:")&amp;C163)*86400,"")/VALUE(SUBSTITUTE(B163,"K","")),0)/60)&amp;":"&amp;TEXT(MOD(ROUND(IFERROR(TIMEVALUE(IF(LEN(C163)-LEN(SUBSTITUTE(C163,":",""))=2,"","0:")&amp;C163)*86400,"")/VALUE(SUBSTITUTE(B163,"K","")),0),60),"00"),""))</f>
        <v/>
      </c>
      <c r="G163" s="21">
        <f>IF(A163="","",IF(COUNTIF(Atletas!$A$2:$A$302,A163)&gt;0,"Sí","No"))</f>
        <v/>
      </c>
    </row>
    <row r="164">
      <c r="A164" s="17" t="n"/>
      <c r="B164" s="17" t="n"/>
      <c r="C164" s="18" t="n"/>
      <c r="D164" s="19" t="n"/>
      <c r="E164" s="17" t="n"/>
      <c r="F164" s="21">
        <f>IF(OR(B164="",C164=""),"",IFERROR(INT(ROUND(IFERROR(TIMEVALUE(IF(LEN(C164)-LEN(SUBSTITUTE(C164,":",""))=2,"","0:")&amp;C164)*86400,"")/VALUE(SUBSTITUTE(B164,"K","")),0)/60)&amp;":"&amp;TEXT(MOD(ROUND(IFERROR(TIMEVALUE(IF(LEN(C164)-LEN(SUBSTITUTE(C164,":",""))=2,"","0:")&amp;C164)*86400,"")/VALUE(SUBSTITUTE(B164,"K","")),0),60),"00"),""))</f>
        <v/>
      </c>
      <c r="G164" s="21">
        <f>IF(A164="","",IF(COUNTIF(Atletas!$A$2:$A$302,A164)&gt;0,"Sí","No"))</f>
        <v/>
      </c>
    </row>
    <row r="165">
      <c r="A165" s="17" t="n"/>
      <c r="B165" s="17" t="n"/>
      <c r="C165" s="18" t="n"/>
      <c r="D165" s="19" t="n"/>
      <c r="E165" s="17" t="n"/>
      <c r="F165" s="21">
        <f>IF(OR(B165="",C165=""),"",IFERROR(INT(ROUND(IFERROR(TIMEVALUE(IF(LEN(C165)-LEN(SUBSTITUTE(C165,":",""))=2,"","0:")&amp;C165)*86400,"")/VALUE(SUBSTITUTE(B165,"K","")),0)/60)&amp;":"&amp;TEXT(MOD(ROUND(IFERROR(TIMEVALUE(IF(LEN(C165)-LEN(SUBSTITUTE(C165,":",""))=2,"","0:")&amp;C165)*86400,"")/VALUE(SUBSTITUTE(B165,"K","")),0),60),"00"),""))</f>
        <v/>
      </c>
      <c r="G165" s="21">
        <f>IF(A165="","",IF(COUNTIF(Atletas!$A$2:$A$302,A165)&gt;0,"Sí","No"))</f>
        <v/>
      </c>
    </row>
    <row r="166">
      <c r="A166" s="17" t="n"/>
      <c r="B166" s="17" t="n"/>
      <c r="C166" s="18" t="n"/>
      <c r="D166" s="19" t="n"/>
      <c r="E166" s="17" t="n"/>
      <c r="F166" s="21">
        <f>IF(OR(B166="",C166=""),"",IFERROR(INT(ROUND(IFERROR(TIMEVALUE(IF(LEN(C166)-LEN(SUBSTITUTE(C166,":",""))=2,"","0:")&amp;C166)*86400,"")/VALUE(SUBSTITUTE(B166,"K","")),0)/60)&amp;":"&amp;TEXT(MOD(ROUND(IFERROR(TIMEVALUE(IF(LEN(C166)-LEN(SUBSTITUTE(C166,":",""))=2,"","0:")&amp;C166)*86400,"")/VALUE(SUBSTITUTE(B166,"K","")),0),60),"00"),""))</f>
        <v/>
      </c>
      <c r="G166" s="21">
        <f>IF(A166="","",IF(COUNTIF(Atletas!$A$2:$A$302,A166)&gt;0,"Sí","No"))</f>
        <v/>
      </c>
    </row>
    <row r="167">
      <c r="A167" s="17" t="n"/>
      <c r="B167" s="17" t="n"/>
      <c r="C167" s="18" t="n"/>
      <c r="D167" s="19" t="n"/>
      <c r="E167" s="17" t="n"/>
      <c r="F167" s="21">
        <f>IF(OR(B167="",C167=""),"",IFERROR(INT(ROUND(IFERROR(TIMEVALUE(IF(LEN(C167)-LEN(SUBSTITUTE(C167,":",""))=2,"","0:")&amp;C167)*86400,"")/VALUE(SUBSTITUTE(B167,"K","")),0)/60)&amp;":"&amp;TEXT(MOD(ROUND(IFERROR(TIMEVALUE(IF(LEN(C167)-LEN(SUBSTITUTE(C167,":",""))=2,"","0:")&amp;C167)*86400,"")/VALUE(SUBSTITUTE(B167,"K","")),0),60),"00"),""))</f>
        <v/>
      </c>
      <c r="G167" s="21">
        <f>IF(A167="","",IF(COUNTIF(Atletas!$A$2:$A$302,A167)&gt;0,"Sí","No"))</f>
        <v/>
      </c>
    </row>
    <row r="168">
      <c r="A168" s="17" t="n"/>
      <c r="B168" s="17" t="n"/>
      <c r="C168" s="18" t="n"/>
      <c r="D168" s="19" t="n"/>
      <c r="E168" s="17" t="n"/>
      <c r="F168" s="21">
        <f>IF(OR(B168="",C168=""),"",IFERROR(INT(ROUND(IFERROR(TIMEVALUE(IF(LEN(C168)-LEN(SUBSTITUTE(C168,":",""))=2,"","0:")&amp;C168)*86400,"")/VALUE(SUBSTITUTE(B168,"K","")),0)/60)&amp;":"&amp;TEXT(MOD(ROUND(IFERROR(TIMEVALUE(IF(LEN(C168)-LEN(SUBSTITUTE(C168,":",""))=2,"","0:")&amp;C168)*86400,"")/VALUE(SUBSTITUTE(B168,"K","")),0),60),"00"),""))</f>
        <v/>
      </c>
      <c r="G168" s="21">
        <f>IF(A168="","",IF(COUNTIF(Atletas!$A$2:$A$302,A168)&gt;0,"Sí","No"))</f>
        <v/>
      </c>
    </row>
    <row r="169">
      <c r="A169" s="17" t="n"/>
      <c r="B169" s="17" t="n"/>
      <c r="C169" s="18" t="n"/>
      <c r="D169" s="19" t="n"/>
      <c r="E169" s="17" t="n"/>
      <c r="F169" s="21">
        <f>IF(OR(B169="",C169=""),"",IFERROR(INT(ROUND(IFERROR(TIMEVALUE(IF(LEN(C169)-LEN(SUBSTITUTE(C169,":",""))=2,"","0:")&amp;C169)*86400,"")/VALUE(SUBSTITUTE(B169,"K","")),0)/60)&amp;":"&amp;TEXT(MOD(ROUND(IFERROR(TIMEVALUE(IF(LEN(C169)-LEN(SUBSTITUTE(C169,":",""))=2,"","0:")&amp;C169)*86400,"")/VALUE(SUBSTITUTE(B169,"K","")),0),60),"00"),""))</f>
        <v/>
      </c>
      <c r="G169" s="21">
        <f>IF(A169="","",IF(COUNTIF(Atletas!$A$2:$A$302,A169)&gt;0,"Sí","No"))</f>
        <v/>
      </c>
    </row>
    <row r="170">
      <c r="A170" s="17" t="n"/>
      <c r="B170" s="17" t="n"/>
      <c r="C170" s="18" t="n"/>
      <c r="D170" s="19" t="n"/>
      <c r="E170" s="17" t="n"/>
      <c r="F170" s="21">
        <f>IF(OR(B170="",C170=""),"",IFERROR(INT(ROUND(IFERROR(TIMEVALUE(IF(LEN(C170)-LEN(SUBSTITUTE(C170,":",""))=2,"","0:")&amp;C170)*86400,"")/VALUE(SUBSTITUTE(B170,"K","")),0)/60)&amp;":"&amp;TEXT(MOD(ROUND(IFERROR(TIMEVALUE(IF(LEN(C170)-LEN(SUBSTITUTE(C170,":",""))=2,"","0:")&amp;C170)*86400,"")/VALUE(SUBSTITUTE(B170,"K","")),0),60),"00"),""))</f>
        <v/>
      </c>
      <c r="G170" s="21">
        <f>IF(A170="","",IF(COUNTIF(Atletas!$A$2:$A$302,A170)&gt;0,"Sí","No"))</f>
        <v/>
      </c>
    </row>
    <row r="171">
      <c r="A171" s="17" t="n"/>
      <c r="B171" s="17" t="n"/>
      <c r="C171" s="18" t="n"/>
      <c r="D171" s="19" t="n"/>
      <c r="E171" s="17" t="n"/>
      <c r="F171" s="21">
        <f>IF(OR(B171="",C171=""),"",IFERROR(INT(ROUND(IFERROR(TIMEVALUE(IF(LEN(C171)-LEN(SUBSTITUTE(C171,":",""))=2,"","0:")&amp;C171)*86400,"")/VALUE(SUBSTITUTE(B171,"K","")),0)/60)&amp;":"&amp;TEXT(MOD(ROUND(IFERROR(TIMEVALUE(IF(LEN(C171)-LEN(SUBSTITUTE(C171,":",""))=2,"","0:")&amp;C171)*86400,"")/VALUE(SUBSTITUTE(B171,"K","")),0),60),"00"),""))</f>
        <v/>
      </c>
      <c r="G171" s="21">
        <f>IF(A171="","",IF(COUNTIF(Atletas!$A$2:$A$302,A171)&gt;0,"Sí","No"))</f>
        <v/>
      </c>
    </row>
    <row r="172">
      <c r="A172" s="17" t="n"/>
      <c r="B172" s="17" t="n"/>
      <c r="C172" s="18" t="n"/>
      <c r="D172" s="19" t="n"/>
      <c r="E172" s="17" t="n"/>
      <c r="F172" s="21">
        <f>IF(OR(B172="",C172=""),"",IFERROR(INT(ROUND(IFERROR(TIMEVALUE(IF(LEN(C172)-LEN(SUBSTITUTE(C172,":",""))=2,"","0:")&amp;C172)*86400,"")/VALUE(SUBSTITUTE(B172,"K","")),0)/60)&amp;":"&amp;TEXT(MOD(ROUND(IFERROR(TIMEVALUE(IF(LEN(C172)-LEN(SUBSTITUTE(C172,":",""))=2,"","0:")&amp;C172)*86400,"")/VALUE(SUBSTITUTE(B172,"K","")),0),60),"00"),""))</f>
        <v/>
      </c>
      <c r="G172" s="21">
        <f>IF(A172="","",IF(COUNTIF(Atletas!$A$2:$A$302,A172)&gt;0,"Sí","No"))</f>
        <v/>
      </c>
    </row>
    <row r="173">
      <c r="A173" s="17" t="n"/>
      <c r="B173" s="17" t="n"/>
      <c r="C173" s="18" t="n"/>
      <c r="D173" s="19" t="n"/>
      <c r="E173" s="17" t="n"/>
      <c r="F173" s="21">
        <f>IF(OR(B173="",C173=""),"",IFERROR(INT(ROUND(IFERROR(TIMEVALUE(IF(LEN(C173)-LEN(SUBSTITUTE(C173,":",""))=2,"","0:")&amp;C173)*86400,"")/VALUE(SUBSTITUTE(B173,"K","")),0)/60)&amp;":"&amp;TEXT(MOD(ROUND(IFERROR(TIMEVALUE(IF(LEN(C173)-LEN(SUBSTITUTE(C173,":",""))=2,"","0:")&amp;C173)*86400,"")/VALUE(SUBSTITUTE(B173,"K","")),0),60),"00"),""))</f>
        <v/>
      </c>
      <c r="G173" s="21">
        <f>IF(A173="","",IF(COUNTIF(Atletas!$A$2:$A$302,A173)&gt;0,"Sí","No"))</f>
        <v/>
      </c>
    </row>
    <row r="174">
      <c r="A174" s="17" t="n"/>
      <c r="B174" s="17" t="n"/>
      <c r="C174" s="18" t="n"/>
      <c r="D174" s="19" t="n"/>
      <c r="E174" s="17" t="n"/>
      <c r="F174" s="21">
        <f>IF(OR(B174="",C174=""),"",IFERROR(INT(ROUND(IFERROR(TIMEVALUE(IF(LEN(C174)-LEN(SUBSTITUTE(C174,":",""))=2,"","0:")&amp;C174)*86400,"")/VALUE(SUBSTITUTE(B174,"K","")),0)/60)&amp;":"&amp;TEXT(MOD(ROUND(IFERROR(TIMEVALUE(IF(LEN(C174)-LEN(SUBSTITUTE(C174,":",""))=2,"","0:")&amp;C174)*86400,"")/VALUE(SUBSTITUTE(B174,"K","")),0),60),"00"),""))</f>
        <v/>
      </c>
      <c r="G174" s="21">
        <f>IF(A174="","",IF(COUNTIF(Atletas!$A$2:$A$302,A174)&gt;0,"Sí","No"))</f>
        <v/>
      </c>
    </row>
    <row r="175">
      <c r="A175" s="17" t="n"/>
      <c r="B175" s="17" t="n"/>
      <c r="C175" s="18" t="n"/>
      <c r="D175" s="19" t="n"/>
      <c r="E175" s="17" t="n"/>
      <c r="F175" s="21">
        <f>IF(OR(B175="",C175=""),"",IFERROR(INT(ROUND(IFERROR(TIMEVALUE(IF(LEN(C175)-LEN(SUBSTITUTE(C175,":",""))=2,"","0:")&amp;C175)*86400,"")/VALUE(SUBSTITUTE(B175,"K","")),0)/60)&amp;":"&amp;TEXT(MOD(ROUND(IFERROR(TIMEVALUE(IF(LEN(C175)-LEN(SUBSTITUTE(C175,":",""))=2,"","0:")&amp;C175)*86400,"")/VALUE(SUBSTITUTE(B175,"K","")),0),60),"00"),""))</f>
        <v/>
      </c>
      <c r="G175" s="21">
        <f>IF(A175="","",IF(COUNTIF(Atletas!$A$2:$A$302,A175)&gt;0,"Sí","No"))</f>
        <v/>
      </c>
    </row>
    <row r="176">
      <c r="A176" s="17" t="n"/>
      <c r="B176" s="17" t="n"/>
      <c r="C176" s="18" t="n"/>
      <c r="D176" s="19" t="n"/>
      <c r="E176" s="17" t="n"/>
      <c r="F176" s="21">
        <f>IF(OR(B176="",C176=""),"",IFERROR(INT(ROUND(IFERROR(TIMEVALUE(IF(LEN(C176)-LEN(SUBSTITUTE(C176,":",""))=2,"","0:")&amp;C176)*86400,"")/VALUE(SUBSTITUTE(B176,"K","")),0)/60)&amp;":"&amp;TEXT(MOD(ROUND(IFERROR(TIMEVALUE(IF(LEN(C176)-LEN(SUBSTITUTE(C176,":",""))=2,"","0:")&amp;C176)*86400,"")/VALUE(SUBSTITUTE(B176,"K","")),0),60),"00"),""))</f>
        <v/>
      </c>
      <c r="G176" s="21">
        <f>IF(A176="","",IF(COUNTIF(Atletas!$A$2:$A$302,A176)&gt;0,"Sí","No"))</f>
        <v/>
      </c>
    </row>
    <row r="177">
      <c r="A177" s="17" t="n"/>
      <c r="B177" s="17" t="n"/>
      <c r="C177" s="18" t="n"/>
      <c r="D177" s="19" t="n"/>
      <c r="E177" s="17" t="n"/>
      <c r="F177" s="21">
        <f>IF(OR(B177="",C177=""),"",IFERROR(INT(ROUND(IFERROR(TIMEVALUE(IF(LEN(C177)-LEN(SUBSTITUTE(C177,":",""))=2,"","0:")&amp;C177)*86400,"")/VALUE(SUBSTITUTE(B177,"K","")),0)/60)&amp;":"&amp;TEXT(MOD(ROUND(IFERROR(TIMEVALUE(IF(LEN(C177)-LEN(SUBSTITUTE(C177,":",""))=2,"","0:")&amp;C177)*86400,"")/VALUE(SUBSTITUTE(B177,"K","")),0),60),"00"),""))</f>
        <v/>
      </c>
      <c r="G177" s="21">
        <f>IF(A177="","",IF(COUNTIF(Atletas!$A$2:$A$302,A177)&gt;0,"Sí","No"))</f>
        <v/>
      </c>
    </row>
    <row r="178">
      <c r="A178" s="17" t="n"/>
      <c r="B178" s="17" t="n"/>
      <c r="C178" s="18" t="n"/>
      <c r="D178" s="19" t="n"/>
      <c r="E178" s="17" t="n"/>
      <c r="F178" s="21">
        <f>IF(OR(B178="",C178=""),"",IFERROR(INT(ROUND(IFERROR(TIMEVALUE(IF(LEN(C178)-LEN(SUBSTITUTE(C178,":",""))=2,"","0:")&amp;C178)*86400,"")/VALUE(SUBSTITUTE(B178,"K","")),0)/60)&amp;":"&amp;TEXT(MOD(ROUND(IFERROR(TIMEVALUE(IF(LEN(C178)-LEN(SUBSTITUTE(C178,":",""))=2,"","0:")&amp;C178)*86400,"")/VALUE(SUBSTITUTE(B178,"K","")),0),60),"00"),""))</f>
        <v/>
      </c>
      <c r="G178" s="21">
        <f>IF(A178="","",IF(COUNTIF(Atletas!$A$2:$A$302,A178)&gt;0,"Sí","No"))</f>
        <v/>
      </c>
    </row>
    <row r="179">
      <c r="A179" s="17" t="n"/>
      <c r="B179" s="17" t="n"/>
      <c r="C179" s="18" t="n"/>
      <c r="D179" s="19" t="n"/>
      <c r="E179" s="17" t="n"/>
      <c r="F179" s="21">
        <f>IF(OR(B179="",C179=""),"",IFERROR(INT(ROUND(IFERROR(TIMEVALUE(IF(LEN(C179)-LEN(SUBSTITUTE(C179,":",""))=2,"","0:")&amp;C179)*86400,"")/VALUE(SUBSTITUTE(B179,"K","")),0)/60)&amp;":"&amp;TEXT(MOD(ROUND(IFERROR(TIMEVALUE(IF(LEN(C179)-LEN(SUBSTITUTE(C179,":",""))=2,"","0:")&amp;C179)*86400,"")/VALUE(SUBSTITUTE(B179,"K","")),0),60),"00"),""))</f>
        <v/>
      </c>
      <c r="G179" s="21">
        <f>IF(A179="","",IF(COUNTIF(Atletas!$A$2:$A$302,A179)&gt;0,"Sí","No"))</f>
        <v/>
      </c>
    </row>
    <row r="180">
      <c r="A180" s="17" t="n"/>
      <c r="B180" s="17" t="n"/>
      <c r="C180" s="18" t="n"/>
      <c r="D180" s="19" t="n"/>
      <c r="E180" s="17" t="n"/>
      <c r="F180" s="21">
        <f>IF(OR(B180="",C180=""),"",IFERROR(INT(ROUND(IFERROR(TIMEVALUE(IF(LEN(C180)-LEN(SUBSTITUTE(C180,":",""))=2,"","0:")&amp;C180)*86400,"")/VALUE(SUBSTITUTE(B180,"K","")),0)/60)&amp;":"&amp;TEXT(MOD(ROUND(IFERROR(TIMEVALUE(IF(LEN(C180)-LEN(SUBSTITUTE(C180,":",""))=2,"","0:")&amp;C180)*86400,"")/VALUE(SUBSTITUTE(B180,"K","")),0),60),"00"),""))</f>
        <v/>
      </c>
      <c r="G180" s="21">
        <f>IF(A180="","",IF(COUNTIF(Atletas!$A$2:$A$302,A180)&gt;0,"Sí","No"))</f>
        <v/>
      </c>
    </row>
    <row r="181">
      <c r="A181" s="17" t="n"/>
      <c r="B181" s="17" t="n"/>
      <c r="C181" s="18" t="n"/>
      <c r="D181" s="19" t="n"/>
      <c r="E181" s="17" t="n"/>
      <c r="F181" s="21">
        <f>IF(OR(B181="",C181=""),"",IFERROR(INT(ROUND(IFERROR(TIMEVALUE(IF(LEN(C181)-LEN(SUBSTITUTE(C181,":",""))=2,"","0:")&amp;C181)*86400,"")/VALUE(SUBSTITUTE(B181,"K","")),0)/60)&amp;":"&amp;TEXT(MOD(ROUND(IFERROR(TIMEVALUE(IF(LEN(C181)-LEN(SUBSTITUTE(C181,":",""))=2,"","0:")&amp;C181)*86400,"")/VALUE(SUBSTITUTE(B181,"K","")),0),60),"00"),""))</f>
        <v/>
      </c>
      <c r="G181" s="21">
        <f>IF(A181="","",IF(COUNTIF(Atletas!$A$2:$A$302,A181)&gt;0,"Sí","No"))</f>
        <v/>
      </c>
    </row>
    <row r="182">
      <c r="A182" s="17" t="n"/>
      <c r="B182" s="17" t="n"/>
      <c r="C182" s="18" t="n"/>
      <c r="D182" s="19" t="n"/>
      <c r="E182" s="17" t="n"/>
      <c r="F182" s="21">
        <f>IF(OR(B182="",C182=""),"",IFERROR(INT(ROUND(IFERROR(TIMEVALUE(IF(LEN(C182)-LEN(SUBSTITUTE(C182,":",""))=2,"","0:")&amp;C182)*86400,"")/VALUE(SUBSTITUTE(B182,"K","")),0)/60)&amp;":"&amp;TEXT(MOD(ROUND(IFERROR(TIMEVALUE(IF(LEN(C182)-LEN(SUBSTITUTE(C182,":",""))=2,"","0:")&amp;C182)*86400,"")/VALUE(SUBSTITUTE(B182,"K","")),0),60),"00"),""))</f>
        <v/>
      </c>
      <c r="G182" s="21">
        <f>IF(A182="","",IF(COUNTIF(Atletas!$A$2:$A$302,A182)&gt;0,"Sí","No"))</f>
        <v/>
      </c>
    </row>
    <row r="183">
      <c r="A183" s="17" t="n"/>
      <c r="B183" s="17" t="n"/>
      <c r="C183" s="18" t="n"/>
      <c r="D183" s="19" t="n"/>
      <c r="E183" s="17" t="n"/>
      <c r="F183" s="21">
        <f>IF(OR(B183="",C183=""),"",IFERROR(INT(ROUND(IFERROR(TIMEVALUE(IF(LEN(C183)-LEN(SUBSTITUTE(C183,":",""))=2,"","0:")&amp;C183)*86400,"")/VALUE(SUBSTITUTE(B183,"K","")),0)/60)&amp;":"&amp;TEXT(MOD(ROUND(IFERROR(TIMEVALUE(IF(LEN(C183)-LEN(SUBSTITUTE(C183,":",""))=2,"","0:")&amp;C183)*86400,"")/VALUE(SUBSTITUTE(B183,"K","")),0),60),"00"),""))</f>
        <v/>
      </c>
      <c r="G183" s="21">
        <f>IF(A183="","",IF(COUNTIF(Atletas!$A$2:$A$302,A183)&gt;0,"Sí","No"))</f>
        <v/>
      </c>
    </row>
    <row r="184">
      <c r="A184" s="17" t="n"/>
      <c r="B184" s="17" t="n"/>
      <c r="C184" s="18" t="n"/>
      <c r="D184" s="19" t="n"/>
      <c r="E184" s="17" t="n"/>
      <c r="F184" s="21">
        <f>IF(OR(B184="",C184=""),"",IFERROR(INT(ROUND(IFERROR(TIMEVALUE(IF(LEN(C184)-LEN(SUBSTITUTE(C184,":",""))=2,"","0:")&amp;C184)*86400,"")/VALUE(SUBSTITUTE(B184,"K","")),0)/60)&amp;":"&amp;TEXT(MOD(ROUND(IFERROR(TIMEVALUE(IF(LEN(C184)-LEN(SUBSTITUTE(C184,":",""))=2,"","0:")&amp;C184)*86400,"")/VALUE(SUBSTITUTE(B184,"K","")),0),60),"00"),""))</f>
        <v/>
      </c>
      <c r="G184" s="21">
        <f>IF(A184="","",IF(COUNTIF(Atletas!$A$2:$A$302,A184)&gt;0,"Sí","No"))</f>
        <v/>
      </c>
    </row>
    <row r="185">
      <c r="A185" s="17" t="n"/>
      <c r="B185" s="17" t="n"/>
      <c r="C185" s="18" t="n"/>
      <c r="D185" s="19" t="n"/>
      <c r="E185" s="17" t="n"/>
      <c r="F185" s="21">
        <f>IF(OR(B185="",C185=""),"",IFERROR(INT(ROUND(IFERROR(TIMEVALUE(IF(LEN(C185)-LEN(SUBSTITUTE(C185,":",""))=2,"","0:")&amp;C185)*86400,"")/VALUE(SUBSTITUTE(B185,"K","")),0)/60)&amp;":"&amp;TEXT(MOD(ROUND(IFERROR(TIMEVALUE(IF(LEN(C185)-LEN(SUBSTITUTE(C185,":",""))=2,"","0:")&amp;C185)*86400,"")/VALUE(SUBSTITUTE(B185,"K","")),0),60),"00"),""))</f>
        <v/>
      </c>
      <c r="G185" s="21">
        <f>IF(A185="","",IF(COUNTIF(Atletas!$A$2:$A$302,A185)&gt;0,"Sí","No"))</f>
        <v/>
      </c>
    </row>
    <row r="186">
      <c r="A186" s="17" t="n"/>
      <c r="B186" s="17" t="n"/>
      <c r="C186" s="18" t="n"/>
      <c r="D186" s="19" t="n"/>
      <c r="E186" s="17" t="n"/>
      <c r="F186" s="21">
        <f>IF(OR(B186="",C186=""),"",IFERROR(INT(ROUND(IFERROR(TIMEVALUE(IF(LEN(C186)-LEN(SUBSTITUTE(C186,":",""))=2,"","0:")&amp;C186)*86400,"")/VALUE(SUBSTITUTE(B186,"K","")),0)/60)&amp;":"&amp;TEXT(MOD(ROUND(IFERROR(TIMEVALUE(IF(LEN(C186)-LEN(SUBSTITUTE(C186,":",""))=2,"","0:")&amp;C186)*86400,"")/VALUE(SUBSTITUTE(B186,"K","")),0),60),"00"),""))</f>
        <v/>
      </c>
      <c r="G186" s="21">
        <f>IF(A186="","",IF(COUNTIF(Atletas!$A$2:$A$302,A186)&gt;0,"Sí","No"))</f>
        <v/>
      </c>
    </row>
    <row r="187">
      <c r="A187" s="17" t="n"/>
      <c r="B187" s="17" t="n"/>
      <c r="C187" s="18" t="n"/>
      <c r="D187" s="19" t="n"/>
      <c r="E187" s="17" t="n"/>
      <c r="F187" s="21">
        <f>IF(OR(B187="",C187=""),"",IFERROR(INT(ROUND(IFERROR(TIMEVALUE(IF(LEN(C187)-LEN(SUBSTITUTE(C187,":",""))=2,"","0:")&amp;C187)*86400,"")/VALUE(SUBSTITUTE(B187,"K","")),0)/60)&amp;":"&amp;TEXT(MOD(ROUND(IFERROR(TIMEVALUE(IF(LEN(C187)-LEN(SUBSTITUTE(C187,":",""))=2,"","0:")&amp;C187)*86400,"")/VALUE(SUBSTITUTE(B187,"K","")),0),60),"00"),""))</f>
        <v/>
      </c>
      <c r="G187" s="21">
        <f>IF(A187="","",IF(COUNTIF(Atletas!$A$2:$A$302,A187)&gt;0,"Sí","No"))</f>
        <v/>
      </c>
    </row>
    <row r="188">
      <c r="A188" s="17" t="n"/>
      <c r="B188" s="17" t="n"/>
      <c r="C188" s="18" t="n"/>
      <c r="D188" s="19" t="n"/>
      <c r="E188" s="17" t="n"/>
      <c r="F188" s="21">
        <f>IF(OR(B188="",C188=""),"",IFERROR(INT(ROUND(IFERROR(TIMEVALUE(IF(LEN(C188)-LEN(SUBSTITUTE(C188,":",""))=2,"","0:")&amp;C188)*86400,"")/VALUE(SUBSTITUTE(B188,"K","")),0)/60)&amp;":"&amp;TEXT(MOD(ROUND(IFERROR(TIMEVALUE(IF(LEN(C188)-LEN(SUBSTITUTE(C188,":",""))=2,"","0:")&amp;C188)*86400,"")/VALUE(SUBSTITUTE(B188,"K","")),0),60),"00"),""))</f>
        <v/>
      </c>
      <c r="G188" s="21">
        <f>IF(A188="","",IF(COUNTIF(Atletas!$A$2:$A$302,A188)&gt;0,"Sí","No"))</f>
        <v/>
      </c>
    </row>
    <row r="189">
      <c r="A189" s="17" t="n"/>
      <c r="B189" s="17" t="n"/>
      <c r="C189" s="18" t="n"/>
      <c r="D189" s="19" t="n"/>
      <c r="E189" s="17" t="n"/>
      <c r="F189" s="21">
        <f>IF(OR(B189="",C189=""),"",IFERROR(INT(ROUND(IFERROR(TIMEVALUE(IF(LEN(C189)-LEN(SUBSTITUTE(C189,":",""))=2,"","0:")&amp;C189)*86400,"")/VALUE(SUBSTITUTE(B189,"K","")),0)/60)&amp;":"&amp;TEXT(MOD(ROUND(IFERROR(TIMEVALUE(IF(LEN(C189)-LEN(SUBSTITUTE(C189,":",""))=2,"","0:")&amp;C189)*86400,"")/VALUE(SUBSTITUTE(B189,"K","")),0),60),"00"),""))</f>
        <v/>
      </c>
      <c r="G189" s="21">
        <f>IF(A189="","",IF(COUNTIF(Atletas!$A$2:$A$302,A189)&gt;0,"Sí","No"))</f>
        <v/>
      </c>
    </row>
    <row r="190">
      <c r="A190" s="17" t="n"/>
      <c r="B190" s="17" t="n"/>
      <c r="C190" s="18" t="n"/>
      <c r="D190" s="19" t="n"/>
      <c r="E190" s="17" t="n"/>
      <c r="F190" s="21">
        <f>IF(OR(B190="",C190=""),"",IFERROR(INT(ROUND(IFERROR(TIMEVALUE(IF(LEN(C190)-LEN(SUBSTITUTE(C190,":",""))=2,"","0:")&amp;C190)*86400,"")/VALUE(SUBSTITUTE(B190,"K","")),0)/60)&amp;":"&amp;TEXT(MOD(ROUND(IFERROR(TIMEVALUE(IF(LEN(C190)-LEN(SUBSTITUTE(C190,":",""))=2,"","0:")&amp;C190)*86400,"")/VALUE(SUBSTITUTE(B190,"K","")),0),60),"00"),""))</f>
        <v/>
      </c>
      <c r="G190" s="21">
        <f>IF(A190="","",IF(COUNTIF(Atletas!$A$2:$A$302,A190)&gt;0,"Sí","No"))</f>
        <v/>
      </c>
    </row>
    <row r="191">
      <c r="A191" s="17" t="n"/>
      <c r="B191" s="17" t="n"/>
      <c r="C191" s="18" t="n"/>
      <c r="D191" s="19" t="n"/>
      <c r="E191" s="17" t="n"/>
      <c r="F191" s="21">
        <f>IF(OR(B191="",C191=""),"",IFERROR(INT(ROUND(IFERROR(TIMEVALUE(IF(LEN(C191)-LEN(SUBSTITUTE(C191,":",""))=2,"","0:")&amp;C191)*86400,"")/VALUE(SUBSTITUTE(B191,"K","")),0)/60)&amp;":"&amp;TEXT(MOD(ROUND(IFERROR(TIMEVALUE(IF(LEN(C191)-LEN(SUBSTITUTE(C191,":",""))=2,"","0:")&amp;C191)*86400,"")/VALUE(SUBSTITUTE(B191,"K","")),0),60),"00"),""))</f>
        <v/>
      </c>
      <c r="G191" s="21">
        <f>IF(A191="","",IF(COUNTIF(Atletas!$A$2:$A$302,A191)&gt;0,"Sí","No"))</f>
        <v/>
      </c>
    </row>
    <row r="192">
      <c r="A192" s="17" t="n"/>
      <c r="B192" s="17" t="n"/>
      <c r="C192" s="18" t="n"/>
      <c r="D192" s="19" t="n"/>
      <c r="E192" s="17" t="n"/>
      <c r="F192" s="21">
        <f>IF(OR(B192="",C192=""),"",IFERROR(INT(ROUND(IFERROR(TIMEVALUE(IF(LEN(C192)-LEN(SUBSTITUTE(C192,":",""))=2,"","0:")&amp;C192)*86400,"")/VALUE(SUBSTITUTE(B192,"K","")),0)/60)&amp;":"&amp;TEXT(MOD(ROUND(IFERROR(TIMEVALUE(IF(LEN(C192)-LEN(SUBSTITUTE(C192,":",""))=2,"","0:")&amp;C192)*86400,"")/VALUE(SUBSTITUTE(B192,"K","")),0),60),"00"),""))</f>
        <v/>
      </c>
      <c r="G192" s="21">
        <f>IF(A192="","",IF(COUNTIF(Atletas!$A$2:$A$302,A192)&gt;0,"Sí","No"))</f>
        <v/>
      </c>
    </row>
    <row r="193">
      <c r="A193" s="17" t="n"/>
      <c r="B193" s="17" t="n"/>
      <c r="C193" s="18" t="n"/>
      <c r="D193" s="19" t="n"/>
      <c r="E193" s="17" t="n"/>
      <c r="F193" s="21">
        <f>IF(OR(B193="",C193=""),"",IFERROR(INT(ROUND(IFERROR(TIMEVALUE(IF(LEN(C193)-LEN(SUBSTITUTE(C193,":",""))=2,"","0:")&amp;C193)*86400,"")/VALUE(SUBSTITUTE(B193,"K","")),0)/60)&amp;":"&amp;TEXT(MOD(ROUND(IFERROR(TIMEVALUE(IF(LEN(C193)-LEN(SUBSTITUTE(C193,":",""))=2,"","0:")&amp;C193)*86400,"")/VALUE(SUBSTITUTE(B193,"K","")),0),60),"00"),""))</f>
        <v/>
      </c>
      <c r="G193" s="21">
        <f>IF(A193="","",IF(COUNTIF(Atletas!$A$2:$A$302,A193)&gt;0,"Sí","No"))</f>
        <v/>
      </c>
    </row>
    <row r="194">
      <c r="A194" s="17" t="n"/>
      <c r="B194" s="17" t="n"/>
      <c r="C194" s="18" t="n"/>
      <c r="D194" s="19" t="n"/>
      <c r="E194" s="17" t="n"/>
      <c r="F194" s="21">
        <f>IF(OR(B194="",C194=""),"",IFERROR(INT(ROUND(IFERROR(TIMEVALUE(IF(LEN(C194)-LEN(SUBSTITUTE(C194,":",""))=2,"","0:")&amp;C194)*86400,"")/VALUE(SUBSTITUTE(B194,"K","")),0)/60)&amp;":"&amp;TEXT(MOD(ROUND(IFERROR(TIMEVALUE(IF(LEN(C194)-LEN(SUBSTITUTE(C194,":",""))=2,"","0:")&amp;C194)*86400,"")/VALUE(SUBSTITUTE(B194,"K","")),0),60),"00"),""))</f>
        <v/>
      </c>
      <c r="G194" s="21">
        <f>IF(A194="","",IF(COUNTIF(Atletas!$A$2:$A$302,A194)&gt;0,"Sí","No"))</f>
        <v/>
      </c>
    </row>
    <row r="195">
      <c r="A195" s="17" t="n"/>
      <c r="B195" s="17" t="n"/>
      <c r="C195" s="18" t="n"/>
      <c r="D195" s="19" t="n"/>
      <c r="E195" s="17" t="n"/>
      <c r="F195" s="21">
        <f>IF(OR(B195="",C195=""),"",IFERROR(INT(ROUND(IFERROR(TIMEVALUE(IF(LEN(C195)-LEN(SUBSTITUTE(C195,":",""))=2,"","0:")&amp;C195)*86400,"")/VALUE(SUBSTITUTE(B195,"K","")),0)/60)&amp;":"&amp;TEXT(MOD(ROUND(IFERROR(TIMEVALUE(IF(LEN(C195)-LEN(SUBSTITUTE(C195,":",""))=2,"","0:")&amp;C195)*86400,"")/VALUE(SUBSTITUTE(B195,"K","")),0),60),"00"),""))</f>
        <v/>
      </c>
      <c r="G195" s="21">
        <f>IF(A195="","",IF(COUNTIF(Atletas!$A$2:$A$302,A195)&gt;0,"Sí","No"))</f>
        <v/>
      </c>
    </row>
    <row r="196">
      <c r="A196" s="17" t="n"/>
      <c r="B196" s="17" t="n"/>
      <c r="C196" s="18" t="n"/>
      <c r="D196" s="19" t="n"/>
      <c r="E196" s="17" t="n"/>
      <c r="F196" s="21">
        <f>IF(OR(B196="",C196=""),"",IFERROR(INT(ROUND(IFERROR(TIMEVALUE(IF(LEN(C196)-LEN(SUBSTITUTE(C196,":",""))=2,"","0:")&amp;C196)*86400,"")/VALUE(SUBSTITUTE(B196,"K","")),0)/60)&amp;":"&amp;TEXT(MOD(ROUND(IFERROR(TIMEVALUE(IF(LEN(C196)-LEN(SUBSTITUTE(C196,":",""))=2,"","0:")&amp;C196)*86400,"")/VALUE(SUBSTITUTE(B196,"K","")),0),60),"00"),""))</f>
        <v/>
      </c>
      <c r="G196" s="21">
        <f>IF(A196="","",IF(COUNTIF(Atletas!$A$2:$A$302,A196)&gt;0,"Sí","No"))</f>
        <v/>
      </c>
    </row>
    <row r="197">
      <c r="A197" s="17" t="n"/>
      <c r="B197" s="17" t="n"/>
      <c r="C197" s="18" t="n"/>
      <c r="D197" s="19" t="n"/>
      <c r="E197" s="17" t="n"/>
      <c r="F197" s="21">
        <f>IF(OR(B197="",C197=""),"",IFERROR(INT(ROUND(IFERROR(TIMEVALUE(IF(LEN(C197)-LEN(SUBSTITUTE(C197,":",""))=2,"","0:")&amp;C197)*86400,"")/VALUE(SUBSTITUTE(B197,"K","")),0)/60)&amp;":"&amp;TEXT(MOD(ROUND(IFERROR(TIMEVALUE(IF(LEN(C197)-LEN(SUBSTITUTE(C197,":",""))=2,"","0:")&amp;C197)*86400,"")/VALUE(SUBSTITUTE(B197,"K","")),0),60),"00"),""))</f>
        <v/>
      </c>
      <c r="G197" s="21">
        <f>IF(A197="","",IF(COUNTIF(Atletas!$A$2:$A$302,A197)&gt;0,"Sí","No"))</f>
        <v/>
      </c>
    </row>
    <row r="198">
      <c r="A198" s="17" t="n"/>
      <c r="B198" s="17" t="n"/>
      <c r="C198" s="18" t="n"/>
      <c r="D198" s="19" t="n"/>
      <c r="E198" s="17" t="n"/>
      <c r="F198" s="21">
        <f>IF(OR(B198="",C198=""),"",IFERROR(INT(ROUND(IFERROR(TIMEVALUE(IF(LEN(C198)-LEN(SUBSTITUTE(C198,":",""))=2,"","0:")&amp;C198)*86400,"")/VALUE(SUBSTITUTE(B198,"K","")),0)/60)&amp;":"&amp;TEXT(MOD(ROUND(IFERROR(TIMEVALUE(IF(LEN(C198)-LEN(SUBSTITUTE(C198,":",""))=2,"","0:")&amp;C198)*86400,"")/VALUE(SUBSTITUTE(B198,"K","")),0),60),"00"),""))</f>
        <v/>
      </c>
      <c r="G198" s="21">
        <f>IF(A198="","",IF(COUNTIF(Atletas!$A$2:$A$302,A198)&gt;0,"Sí","No"))</f>
        <v/>
      </c>
    </row>
    <row r="199">
      <c r="A199" s="17" t="n"/>
      <c r="B199" s="17" t="n"/>
      <c r="C199" s="18" t="n"/>
      <c r="D199" s="19" t="n"/>
      <c r="E199" s="17" t="n"/>
      <c r="F199" s="21">
        <f>IF(OR(B199="",C199=""),"",IFERROR(INT(ROUND(IFERROR(TIMEVALUE(IF(LEN(C199)-LEN(SUBSTITUTE(C199,":",""))=2,"","0:")&amp;C199)*86400,"")/VALUE(SUBSTITUTE(B199,"K","")),0)/60)&amp;":"&amp;TEXT(MOD(ROUND(IFERROR(TIMEVALUE(IF(LEN(C199)-LEN(SUBSTITUTE(C199,":",""))=2,"","0:")&amp;C199)*86400,"")/VALUE(SUBSTITUTE(B199,"K","")),0),60),"00"),""))</f>
        <v/>
      </c>
      <c r="G199" s="21">
        <f>IF(A199="","",IF(COUNTIF(Atletas!$A$2:$A$302,A199)&gt;0,"Sí","No"))</f>
        <v/>
      </c>
    </row>
    <row r="200">
      <c r="A200" s="17" t="n"/>
      <c r="B200" s="17" t="n"/>
      <c r="C200" s="18" t="n"/>
      <c r="D200" s="19" t="n"/>
      <c r="E200" s="17" t="n"/>
      <c r="F200" s="21">
        <f>IF(OR(B200="",C200=""),"",IFERROR(INT(ROUND(IFERROR(TIMEVALUE(IF(LEN(C200)-LEN(SUBSTITUTE(C200,":",""))=2,"","0:")&amp;C200)*86400,"")/VALUE(SUBSTITUTE(B200,"K","")),0)/60)&amp;":"&amp;TEXT(MOD(ROUND(IFERROR(TIMEVALUE(IF(LEN(C200)-LEN(SUBSTITUTE(C200,":",""))=2,"","0:")&amp;C200)*86400,"")/VALUE(SUBSTITUTE(B200,"K","")),0),60),"00"),""))</f>
        <v/>
      </c>
      <c r="G200" s="21">
        <f>IF(A200="","",IF(COUNTIF(Atletas!$A$2:$A$302,A200)&gt;0,"Sí","No"))</f>
        <v/>
      </c>
    </row>
    <row r="201">
      <c r="A201" s="17" t="n"/>
      <c r="B201" s="17" t="n"/>
      <c r="C201" s="18" t="n"/>
      <c r="D201" s="19" t="n"/>
      <c r="E201" s="17" t="n"/>
      <c r="F201" s="21">
        <f>IF(OR(B201="",C201=""),"",IFERROR(INT(ROUND(IFERROR(TIMEVALUE(IF(LEN(C201)-LEN(SUBSTITUTE(C201,":",""))=2,"","0:")&amp;C201)*86400,"")/VALUE(SUBSTITUTE(B201,"K","")),0)/60)&amp;":"&amp;TEXT(MOD(ROUND(IFERROR(TIMEVALUE(IF(LEN(C201)-LEN(SUBSTITUTE(C201,":",""))=2,"","0:")&amp;C201)*86400,"")/VALUE(SUBSTITUTE(B201,"K","")),0),60),"00"),""))</f>
        <v/>
      </c>
      <c r="G201" s="21">
        <f>IF(A201="","",IF(COUNTIF(Atletas!$A$2:$A$302,A201)&gt;0,"Sí","No"))</f>
        <v/>
      </c>
    </row>
    <row r="202">
      <c r="A202" s="17" t="n"/>
      <c r="B202" s="17" t="n"/>
      <c r="C202" s="18" t="n"/>
      <c r="D202" s="19" t="n"/>
      <c r="E202" s="17" t="n"/>
      <c r="F202" s="21">
        <f>IF(OR(B202="",C202=""),"",IFERROR(INT(ROUND(IFERROR(TIMEVALUE(IF(LEN(C202)-LEN(SUBSTITUTE(C202,":",""))=2,"","0:")&amp;C202)*86400,"")/VALUE(SUBSTITUTE(B202,"K","")),0)/60)&amp;":"&amp;TEXT(MOD(ROUND(IFERROR(TIMEVALUE(IF(LEN(C202)-LEN(SUBSTITUTE(C202,":",""))=2,"","0:")&amp;C202)*86400,"")/VALUE(SUBSTITUTE(B202,"K","")),0),60),"00"),""))</f>
        <v/>
      </c>
      <c r="G202" s="21">
        <f>IF(A202="","",IF(COUNTIF(Atletas!$A$2:$A$302,A202)&gt;0,"Sí","No"))</f>
        <v/>
      </c>
    </row>
    <row r="203">
      <c r="A203" s="17" t="n"/>
      <c r="B203" s="17" t="n"/>
      <c r="C203" s="18" t="n"/>
      <c r="D203" s="19" t="n"/>
      <c r="E203" s="17" t="n"/>
      <c r="F203" s="21">
        <f>IF(OR(B203="",C203=""),"",IFERROR(INT(ROUND(IFERROR(TIMEVALUE(IF(LEN(C203)-LEN(SUBSTITUTE(C203,":",""))=2,"","0:")&amp;C203)*86400,"")/VALUE(SUBSTITUTE(B203,"K","")),0)/60)&amp;":"&amp;TEXT(MOD(ROUND(IFERROR(TIMEVALUE(IF(LEN(C203)-LEN(SUBSTITUTE(C203,":",""))=2,"","0:")&amp;C203)*86400,"")/VALUE(SUBSTITUTE(B203,"K","")),0),60),"00"),""))</f>
        <v/>
      </c>
      <c r="G203" s="21">
        <f>IF(A203="","",IF(COUNTIF(Atletas!$A$2:$A$302,A203)&gt;0,"Sí","No"))</f>
        <v/>
      </c>
    </row>
    <row r="204">
      <c r="A204" s="17" t="n"/>
      <c r="B204" s="17" t="n"/>
      <c r="C204" s="18" t="n"/>
      <c r="D204" s="19" t="n"/>
      <c r="E204" s="17" t="n"/>
      <c r="F204" s="21">
        <f>IF(OR(B204="",C204=""),"",IFERROR(INT(ROUND(IFERROR(TIMEVALUE(IF(LEN(C204)-LEN(SUBSTITUTE(C204,":",""))=2,"","0:")&amp;C204)*86400,"")/VALUE(SUBSTITUTE(B204,"K","")),0)/60)&amp;":"&amp;TEXT(MOD(ROUND(IFERROR(TIMEVALUE(IF(LEN(C204)-LEN(SUBSTITUTE(C204,":",""))=2,"","0:")&amp;C204)*86400,"")/VALUE(SUBSTITUTE(B204,"K","")),0),60),"00"),""))</f>
        <v/>
      </c>
      <c r="G204" s="21">
        <f>IF(A204="","",IF(COUNTIF(Atletas!$A$2:$A$302,A204)&gt;0,"Sí","No"))</f>
        <v/>
      </c>
    </row>
    <row r="205">
      <c r="A205" s="17" t="n"/>
      <c r="B205" s="17" t="n"/>
      <c r="C205" s="18" t="n"/>
      <c r="D205" s="19" t="n"/>
      <c r="E205" s="17" t="n"/>
      <c r="F205" s="21">
        <f>IF(OR(B205="",C205=""),"",IFERROR(INT(ROUND(IFERROR(TIMEVALUE(IF(LEN(C205)-LEN(SUBSTITUTE(C205,":",""))=2,"","0:")&amp;C205)*86400,"")/VALUE(SUBSTITUTE(B205,"K","")),0)/60)&amp;":"&amp;TEXT(MOD(ROUND(IFERROR(TIMEVALUE(IF(LEN(C205)-LEN(SUBSTITUTE(C205,":",""))=2,"","0:")&amp;C205)*86400,"")/VALUE(SUBSTITUTE(B205,"K","")),0),60),"00"),""))</f>
        <v/>
      </c>
      <c r="G205" s="21">
        <f>IF(A205="","",IF(COUNTIF(Atletas!$A$2:$A$302,A205)&gt;0,"Sí","No"))</f>
        <v/>
      </c>
    </row>
    <row r="206">
      <c r="A206" s="17" t="n"/>
      <c r="B206" s="17" t="n"/>
      <c r="C206" s="18" t="n"/>
      <c r="D206" s="19" t="n"/>
      <c r="E206" s="17" t="n"/>
      <c r="F206" s="21">
        <f>IF(OR(B206="",C206=""),"",IFERROR(INT(ROUND(IFERROR(TIMEVALUE(IF(LEN(C206)-LEN(SUBSTITUTE(C206,":",""))=2,"","0:")&amp;C206)*86400,"")/VALUE(SUBSTITUTE(B206,"K","")),0)/60)&amp;":"&amp;TEXT(MOD(ROUND(IFERROR(TIMEVALUE(IF(LEN(C206)-LEN(SUBSTITUTE(C206,":",""))=2,"","0:")&amp;C206)*86400,"")/VALUE(SUBSTITUTE(B206,"K","")),0),60),"00"),""))</f>
        <v/>
      </c>
      <c r="G206" s="21">
        <f>IF(A206="","",IF(COUNTIF(Atletas!$A$2:$A$302,A206)&gt;0,"Sí","No"))</f>
        <v/>
      </c>
    </row>
    <row r="207">
      <c r="A207" s="17" t="n"/>
      <c r="B207" s="17" t="n"/>
      <c r="C207" s="18" t="n"/>
      <c r="D207" s="19" t="n"/>
      <c r="E207" s="17" t="n"/>
      <c r="F207" s="21">
        <f>IF(OR(B207="",C207=""),"",IFERROR(INT(ROUND(IFERROR(TIMEVALUE(IF(LEN(C207)-LEN(SUBSTITUTE(C207,":",""))=2,"","0:")&amp;C207)*86400,"")/VALUE(SUBSTITUTE(B207,"K","")),0)/60)&amp;":"&amp;TEXT(MOD(ROUND(IFERROR(TIMEVALUE(IF(LEN(C207)-LEN(SUBSTITUTE(C207,":",""))=2,"","0:")&amp;C207)*86400,"")/VALUE(SUBSTITUTE(B207,"K","")),0),60),"00"),""))</f>
        <v/>
      </c>
      <c r="G207" s="21">
        <f>IF(A207="","",IF(COUNTIF(Atletas!$A$2:$A$302,A207)&gt;0,"Sí","No"))</f>
        <v/>
      </c>
    </row>
    <row r="208">
      <c r="A208" s="17" t="n"/>
      <c r="B208" s="17" t="n"/>
      <c r="C208" s="18" t="n"/>
      <c r="D208" s="19" t="n"/>
      <c r="E208" s="17" t="n"/>
      <c r="F208" s="21">
        <f>IF(OR(B208="",C208=""),"",IFERROR(INT(ROUND(IFERROR(TIMEVALUE(IF(LEN(C208)-LEN(SUBSTITUTE(C208,":",""))=2,"","0:")&amp;C208)*86400,"")/VALUE(SUBSTITUTE(B208,"K","")),0)/60)&amp;":"&amp;TEXT(MOD(ROUND(IFERROR(TIMEVALUE(IF(LEN(C208)-LEN(SUBSTITUTE(C208,":",""))=2,"","0:")&amp;C208)*86400,"")/VALUE(SUBSTITUTE(B208,"K","")),0),60),"00"),""))</f>
        <v/>
      </c>
      <c r="G208" s="21">
        <f>IF(A208="","",IF(COUNTIF(Atletas!$A$2:$A$302,A208)&gt;0,"Sí","No"))</f>
        <v/>
      </c>
    </row>
    <row r="209">
      <c r="A209" s="17" t="n"/>
      <c r="B209" s="17" t="n"/>
      <c r="C209" s="18" t="n"/>
      <c r="D209" s="19" t="n"/>
      <c r="E209" s="17" t="n"/>
      <c r="F209" s="21">
        <f>IF(OR(B209="",C209=""),"",IFERROR(INT(ROUND(IFERROR(TIMEVALUE(IF(LEN(C209)-LEN(SUBSTITUTE(C209,":",""))=2,"","0:")&amp;C209)*86400,"")/VALUE(SUBSTITUTE(B209,"K","")),0)/60)&amp;":"&amp;TEXT(MOD(ROUND(IFERROR(TIMEVALUE(IF(LEN(C209)-LEN(SUBSTITUTE(C209,":",""))=2,"","0:")&amp;C209)*86400,"")/VALUE(SUBSTITUTE(B209,"K","")),0),60),"00"),""))</f>
        <v/>
      </c>
      <c r="G209" s="21">
        <f>IF(A209="","",IF(COUNTIF(Atletas!$A$2:$A$302,A209)&gt;0,"Sí","No"))</f>
        <v/>
      </c>
    </row>
    <row r="210">
      <c r="A210" s="17" t="n"/>
      <c r="B210" s="17" t="n"/>
      <c r="C210" s="18" t="n"/>
      <c r="D210" s="19" t="n"/>
      <c r="E210" s="17" t="n"/>
      <c r="F210" s="21">
        <f>IF(OR(B210="",C210=""),"",IFERROR(INT(ROUND(IFERROR(TIMEVALUE(IF(LEN(C210)-LEN(SUBSTITUTE(C210,":",""))=2,"","0:")&amp;C210)*86400,"")/VALUE(SUBSTITUTE(B210,"K","")),0)/60)&amp;":"&amp;TEXT(MOD(ROUND(IFERROR(TIMEVALUE(IF(LEN(C210)-LEN(SUBSTITUTE(C210,":",""))=2,"","0:")&amp;C210)*86400,"")/VALUE(SUBSTITUTE(B210,"K","")),0),60),"00"),""))</f>
        <v/>
      </c>
      <c r="G210" s="21">
        <f>IF(A210="","",IF(COUNTIF(Atletas!$A$2:$A$302,A210)&gt;0,"Sí","No"))</f>
        <v/>
      </c>
    </row>
    <row r="211">
      <c r="A211" s="17" t="n"/>
      <c r="B211" s="17" t="n"/>
      <c r="C211" s="18" t="n"/>
      <c r="D211" s="19" t="n"/>
      <c r="E211" s="17" t="n"/>
      <c r="F211" s="21">
        <f>IF(OR(B211="",C211=""),"",IFERROR(INT(ROUND(IFERROR(TIMEVALUE(IF(LEN(C211)-LEN(SUBSTITUTE(C211,":",""))=2,"","0:")&amp;C211)*86400,"")/VALUE(SUBSTITUTE(B211,"K","")),0)/60)&amp;":"&amp;TEXT(MOD(ROUND(IFERROR(TIMEVALUE(IF(LEN(C211)-LEN(SUBSTITUTE(C211,":",""))=2,"","0:")&amp;C211)*86400,"")/VALUE(SUBSTITUTE(B211,"K","")),0),60),"00"),""))</f>
        <v/>
      </c>
      <c r="G211" s="21">
        <f>IF(A211="","",IF(COUNTIF(Atletas!$A$2:$A$302,A211)&gt;0,"Sí","No"))</f>
        <v/>
      </c>
    </row>
    <row r="212">
      <c r="A212" s="17" t="n"/>
      <c r="B212" s="17" t="n"/>
      <c r="C212" s="18" t="n"/>
      <c r="D212" s="19" t="n"/>
      <c r="E212" s="17" t="n"/>
      <c r="F212" s="21">
        <f>IF(OR(B212="",C212=""),"",IFERROR(INT(ROUND(IFERROR(TIMEVALUE(IF(LEN(C212)-LEN(SUBSTITUTE(C212,":",""))=2,"","0:")&amp;C212)*86400,"")/VALUE(SUBSTITUTE(B212,"K","")),0)/60)&amp;":"&amp;TEXT(MOD(ROUND(IFERROR(TIMEVALUE(IF(LEN(C212)-LEN(SUBSTITUTE(C212,":",""))=2,"","0:")&amp;C212)*86400,"")/VALUE(SUBSTITUTE(B212,"K","")),0),60),"00"),""))</f>
        <v/>
      </c>
      <c r="G212" s="21">
        <f>IF(A212="","",IF(COUNTIF(Atletas!$A$2:$A$302,A212)&gt;0,"Sí","No"))</f>
        <v/>
      </c>
    </row>
    <row r="213">
      <c r="A213" s="17" t="n"/>
      <c r="B213" s="17" t="n"/>
      <c r="C213" s="18" t="n"/>
      <c r="D213" s="19" t="n"/>
      <c r="E213" s="17" t="n"/>
      <c r="F213" s="21">
        <f>IF(OR(B213="",C213=""),"",IFERROR(INT(ROUND(IFERROR(TIMEVALUE(IF(LEN(C213)-LEN(SUBSTITUTE(C213,":",""))=2,"","0:")&amp;C213)*86400,"")/VALUE(SUBSTITUTE(B213,"K","")),0)/60)&amp;":"&amp;TEXT(MOD(ROUND(IFERROR(TIMEVALUE(IF(LEN(C213)-LEN(SUBSTITUTE(C213,":",""))=2,"","0:")&amp;C213)*86400,"")/VALUE(SUBSTITUTE(B213,"K","")),0),60),"00"),""))</f>
        <v/>
      </c>
      <c r="G213" s="21">
        <f>IF(A213="","",IF(COUNTIF(Atletas!$A$2:$A$302,A213)&gt;0,"Sí","No"))</f>
        <v/>
      </c>
    </row>
    <row r="214">
      <c r="A214" s="17" t="n"/>
      <c r="B214" s="17" t="n"/>
      <c r="C214" s="18" t="n"/>
      <c r="D214" s="19" t="n"/>
      <c r="E214" s="17" t="n"/>
      <c r="F214" s="21">
        <f>IF(OR(B214="",C214=""),"",IFERROR(INT(ROUND(IFERROR(TIMEVALUE(IF(LEN(C214)-LEN(SUBSTITUTE(C214,":",""))=2,"","0:")&amp;C214)*86400,"")/VALUE(SUBSTITUTE(B214,"K","")),0)/60)&amp;":"&amp;TEXT(MOD(ROUND(IFERROR(TIMEVALUE(IF(LEN(C214)-LEN(SUBSTITUTE(C214,":",""))=2,"","0:")&amp;C214)*86400,"")/VALUE(SUBSTITUTE(B214,"K","")),0),60),"00"),""))</f>
        <v/>
      </c>
      <c r="G214" s="21">
        <f>IF(A214="","",IF(COUNTIF(Atletas!$A$2:$A$302,A214)&gt;0,"Sí","No"))</f>
        <v/>
      </c>
    </row>
    <row r="215">
      <c r="A215" s="17" t="n"/>
      <c r="B215" s="17" t="n"/>
      <c r="C215" s="18" t="n"/>
      <c r="D215" s="19" t="n"/>
      <c r="E215" s="17" t="n"/>
      <c r="F215" s="21">
        <f>IF(OR(B215="",C215=""),"",IFERROR(INT(ROUND(IFERROR(TIMEVALUE(IF(LEN(C215)-LEN(SUBSTITUTE(C215,":",""))=2,"","0:")&amp;C215)*86400,"")/VALUE(SUBSTITUTE(B215,"K","")),0)/60)&amp;":"&amp;TEXT(MOD(ROUND(IFERROR(TIMEVALUE(IF(LEN(C215)-LEN(SUBSTITUTE(C215,":",""))=2,"","0:")&amp;C215)*86400,"")/VALUE(SUBSTITUTE(B215,"K","")),0),60),"00"),""))</f>
        <v/>
      </c>
      <c r="G215" s="21">
        <f>IF(A215="","",IF(COUNTIF(Atletas!$A$2:$A$302,A215)&gt;0,"Sí","No"))</f>
        <v/>
      </c>
    </row>
    <row r="216">
      <c r="A216" s="17" t="n"/>
      <c r="B216" s="17" t="n"/>
      <c r="C216" s="18" t="n"/>
      <c r="D216" s="19" t="n"/>
      <c r="E216" s="17" t="n"/>
      <c r="F216" s="21">
        <f>IF(OR(B216="",C216=""),"",IFERROR(INT(ROUND(IFERROR(TIMEVALUE(IF(LEN(C216)-LEN(SUBSTITUTE(C216,":",""))=2,"","0:")&amp;C216)*86400,"")/VALUE(SUBSTITUTE(B216,"K","")),0)/60)&amp;":"&amp;TEXT(MOD(ROUND(IFERROR(TIMEVALUE(IF(LEN(C216)-LEN(SUBSTITUTE(C216,":",""))=2,"","0:")&amp;C216)*86400,"")/VALUE(SUBSTITUTE(B216,"K","")),0),60),"00"),""))</f>
        <v/>
      </c>
      <c r="G216" s="21">
        <f>IF(A216="","",IF(COUNTIF(Atletas!$A$2:$A$302,A216)&gt;0,"Sí","No"))</f>
        <v/>
      </c>
    </row>
    <row r="217">
      <c r="A217" s="17" t="n"/>
      <c r="B217" s="17" t="n"/>
      <c r="C217" s="18" t="n"/>
      <c r="D217" s="19" t="n"/>
      <c r="E217" s="17" t="n"/>
      <c r="F217" s="21">
        <f>IF(OR(B217="",C217=""),"",IFERROR(INT(ROUND(IFERROR(TIMEVALUE(IF(LEN(C217)-LEN(SUBSTITUTE(C217,":",""))=2,"","0:")&amp;C217)*86400,"")/VALUE(SUBSTITUTE(B217,"K","")),0)/60)&amp;":"&amp;TEXT(MOD(ROUND(IFERROR(TIMEVALUE(IF(LEN(C217)-LEN(SUBSTITUTE(C217,":",""))=2,"","0:")&amp;C217)*86400,"")/VALUE(SUBSTITUTE(B217,"K","")),0),60),"00"),""))</f>
        <v/>
      </c>
      <c r="G217" s="21">
        <f>IF(A217="","",IF(COUNTIF(Atletas!$A$2:$A$302,A217)&gt;0,"Sí","No"))</f>
        <v/>
      </c>
    </row>
    <row r="218">
      <c r="A218" s="17" t="n"/>
      <c r="B218" s="17" t="n"/>
      <c r="C218" s="18" t="n"/>
      <c r="D218" s="19" t="n"/>
      <c r="E218" s="17" t="n"/>
      <c r="F218" s="21">
        <f>IF(OR(B218="",C218=""),"",IFERROR(INT(ROUND(IFERROR(TIMEVALUE(IF(LEN(C218)-LEN(SUBSTITUTE(C218,":",""))=2,"","0:")&amp;C218)*86400,"")/VALUE(SUBSTITUTE(B218,"K","")),0)/60)&amp;":"&amp;TEXT(MOD(ROUND(IFERROR(TIMEVALUE(IF(LEN(C218)-LEN(SUBSTITUTE(C218,":",""))=2,"","0:")&amp;C218)*86400,"")/VALUE(SUBSTITUTE(B218,"K","")),0),60),"00"),""))</f>
        <v/>
      </c>
      <c r="G218" s="21">
        <f>IF(A218="","",IF(COUNTIF(Atletas!$A$2:$A$302,A218)&gt;0,"Sí","No"))</f>
        <v/>
      </c>
    </row>
    <row r="219">
      <c r="A219" s="17" t="n"/>
      <c r="B219" s="17" t="n"/>
      <c r="C219" s="18" t="n"/>
      <c r="D219" s="19" t="n"/>
      <c r="E219" s="17" t="n"/>
      <c r="F219" s="21">
        <f>IF(OR(B219="",C219=""),"",IFERROR(INT(ROUND(IFERROR(TIMEVALUE(IF(LEN(C219)-LEN(SUBSTITUTE(C219,":",""))=2,"","0:")&amp;C219)*86400,"")/VALUE(SUBSTITUTE(B219,"K","")),0)/60)&amp;":"&amp;TEXT(MOD(ROUND(IFERROR(TIMEVALUE(IF(LEN(C219)-LEN(SUBSTITUTE(C219,":",""))=2,"","0:")&amp;C219)*86400,"")/VALUE(SUBSTITUTE(B219,"K","")),0),60),"00"),""))</f>
        <v/>
      </c>
      <c r="G219" s="21">
        <f>IF(A219="","",IF(COUNTIF(Atletas!$A$2:$A$302,A219)&gt;0,"Sí","No"))</f>
        <v/>
      </c>
    </row>
    <row r="220">
      <c r="A220" s="17" t="n"/>
      <c r="B220" s="17" t="n"/>
      <c r="C220" s="18" t="n"/>
      <c r="D220" s="19" t="n"/>
      <c r="E220" s="17" t="n"/>
      <c r="F220" s="21">
        <f>IF(OR(B220="",C220=""),"",IFERROR(INT(ROUND(IFERROR(TIMEVALUE(IF(LEN(C220)-LEN(SUBSTITUTE(C220,":",""))=2,"","0:")&amp;C220)*86400,"")/VALUE(SUBSTITUTE(B220,"K","")),0)/60)&amp;":"&amp;TEXT(MOD(ROUND(IFERROR(TIMEVALUE(IF(LEN(C220)-LEN(SUBSTITUTE(C220,":",""))=2,"","0:")&amp;C220)*86400,"")/VALUE(SUBSTITUTE(B220,"K","")),0),60),"00"),""))</f>
        <v/>
      </c>
      <c r="G220" s="21">
        <f>IF(A220="","",IF(COUNTIF(Atletas!$A$2:$A$302,A220)&gt;0,"Sí","No"))</f>
        <v/>
      </c>
    </row>
    <row r="221">
      <c r="A221" s="17" t="n"/>
      <c r="B221" s="17" t="n"/>
      <c r="C221" s="18" t="n"/>
      <c r="D221" s="19" t="n"/>
      <c r="E221" s="17" t="n"/>
      <c r="F221" s="21">
        <f>IF(OR(B221="",C221=""),"",IFERROR(INT(ROUND(IFERROR(TIMEVALUE(IF(LEN(C221)-LEN(SUBSTITUTE(C221,":",""))=2,"","0:")&amp;C221)*86400,"")/VALUE(SUBSTITUTE(B221,"K","")),0)/60)&amp;":"&amp;TEXT(MOD(ROUND(IFERROR(TIMEVALUE(IF(LEN(C221)-LEN(SUBSTITUTE(C221,":",""))=2,"","0:")&amp;C221)*86400,"")/VALUE(SUBSTITUTE(B221,"K","")),0),60),"00"),""))</f>
        <v/>
      </c>
      <c r="G221" s="21">
        <f>IF(A221="","",IF(COUNTIF(Atletas!$A$2:$A$302,A221)&gt;0,"Sí","No"))</f>
        <v/>
      </c>
    </row>
    <row r="222">
      <c r="A222" s="17" t="n"/>
      <c r="B222" s="17" t="n"/>
      <c r="C222" s="18" t="n"/>
      <c r="D222" s="19" t="n"/>
      <c r="E222" s="17" t="n"/>
      <c r="F222" s="21">
        <f>IF(OR(B222="",C222=""),"",IFERROR(INT(ROUND(IFERROR(TIMEVALUE(IF(LEN(C222)-LEN(SUBSTITUTE(C222,":",""))=2,"","0:")&amp;C222)*86400,"")/VALUE(SUBSTITUTE(B222,"K","")),0)/60)&amp;":"&amp;TEXT(MOD(ROUND(IFERROR(TIMEVALUE(IF(LEN(C222)-LEN(SUBSTITUTE(C222,":",""))=2,"","0:")&amp;C222)*86400,"")/VALUE(SUBSTITUTE(B222,"K","")),0),60),"00"),""))</f>
        <v/>
      </c>
      <c r="G222" s="21">
        <f>IF(A222="","",IF(COUNTIF(Atletas!$A$2:$A$302,A222)&gt;0,"Sí","No"))</f>
        <v/>
      </c>
    </row>
    <row r="223">
      <c r="A223" s="17" t="n"/>
      <c r="B223" s="17" t="n"/>
      <c r="C223" s="18" t="n"/>
      <c r="D223" s="19" t="n"/>
      <c r="E223" s="17" t="n"/>
      <c r="F223" s="21">
        <f>IF(OR(B223="",C223=""),"",IFERROR(INT(ROUND(IFERROR(TIMEVALUE(IF(LEN(C223)-LEN(SUBSTITUTE(C223,":",""))=2,"","0:")&amp;C223)*86400,"")/VALUE(SUBSTITUTE(B223,"K","")),0)/60)&amp;":"&amp;TEXT(MOD(ROUND(IFERROR(TIMEVALUE(IF(LEN(C223)-LEN(SUBSTITUTE(C223,":",""))=2,"","0:")&amp;C223)*86400,"")/VALUE(SUBSTITUTE(B223,"K","")),0),60),"00"),""))</f>
        <v/>
      </c>
      <c r="G223" s="21">
        <f>IF(A223="","",IF(COUNTIF(Atletas!$A$2:$A$302,A223)&gt;0,"Sí","No"))</f>
        <v/>
      </c>
    </row>
    <row r="224">
      <c r="A224" s="17" t="n"/>
      <c r="B224" s="17" t="n"/>
      <c r="C224" s="18" t="n"/>
      <c r="D224" s="19" t="n"/>
      <c r="E224" s="17" t="n"/>
      <c r="F224" s="21">
        <f>IF(OR(B224="",C224=""),"",IFERROR(INT(ROUND(IFERROR(TIMEVALUE(IF(LEN(C224)-LEN(SUBSTITUTE(C224,":",""))=2,"","0:")&amp;C224)*86400,"")/VALUE(SUBSTITUTE(B224,"K","")),0)/60)&amp;":"&amp;TEXT(MOD(ROUND(IFERROR(TIMEVALUE(IF(LEN(C224)-LEN(SUBSTITUTE(C224,":",""))=2,"","0:")&amp;C224)*86400,"")/VALUE(SUBSTITUTE(B224,"K","")),0),60),"00"),""))</f>
        <v/>
      </c>
      <c r="G224" s="21">
        <f>IF(A224="","",IF(COUNTIF(Atletas!$A$2:$A$302,A224)&gt;0,"Sí","No"))</f>
        <v/>
      </c>
    </row>
    <row r="225">
      <c r="A225" s="17" t="n"/>
      <c r="B225" s="17" t="n"/>
      <c r="C225" s="18" t="n"/>
      <c r="D225" s="19" t="n"/>
      <c r="E225" s="17" t="n"/>
      <c r="F225" s="21">
        <f>IF(OR(B225="",C225=""),"",IFERROR(INT(ROUND(IFERROR(TIMEVALUE(IF(LEN(C225)-LEN(SUBSTITUTE(C225,":",""))=2,"","0:")&amp;C225)*86400,"")/VALUE(SUBSTITUTE(B225,"K","")),0)/60)&amp;":"&amp;TEXT(MOD(ROUND(IFERROR(TIMEVALUE(IF(LEN(C225)-LEN(SUBSTITUTE(C225,":",""))=2,"","0:")&amp;C225)*86400,"")/VALUE(SUBSTITUTE(B225,"K","")),0),60),"00"),""))</f>
        <v/>
      </c>
      <c r="G225" s="21">
        <f>IF(A225="","",IF(COUNTIF(Atletas!$A$2:$A$302,A225)&gt;0,"Sí","No"))</f>
        <v/>
      </c>
    </row>
    <row r="226">
      <c r="A226" s="17" t="n"/>
      <c r="B226" s="17" t="n"/>
      <c r="C226" s="18" t="n"/>
      <c r="D226" s="19" t="n"/>
      <c r="E226" s="17" t="n"/>
      <c r="F226" s="21">
        <f>IF(OR(B226="",C226=""),"",IFERROR(INT(ROUND(IFERROR(TIMEVALUE(IF(LEN(C226)-LEN(SUBSTITUTE(C226,":",""))=2,"","0:")&amp;C226)*86400,"")/VALUE(SUBSTITUTE(B226,"K","")),0)/60)&amp;":"&amp;TEXT(MOD(ROUND(IFERROR(TIMEVALUE(IF(LEN(C226)-LEN(SUBSTITUTE(C226,":",""))=2,"","0:")&amp;C226)*86400,"")/VALUE(SUBSTITUTE(B226,"K","")),0),60),"00"),""))</f>
        <v/>
      </c>
      <c r="G226" s="21">
        <f>IF(A226="","",IF(COUNTIF(Atletas!$A$2:$A$302,A226)&gt;0,"Sí","No"))</f>
        <v/>
      </c>
    </row>
    <row r="227">
      <c r="A227" s="17" t="n"/>
      <c r="B227" s="17" t="n"/>
      <c r="C227" s="18" t="n"/>
      <c r="D227" s="19" t="n"/>
      <c r="E227" s="17" t="n"/>
      <c r="F227" s="21">
        <f>IF(OR(B227="",C227=""),"",IFERROR(INT(ROUND(IFERROR(TIMEVALUE(IF(LEN(C227)-LEN(SUBSTITUTE(C227,":",""))=2,"","0:")&amp;C227)*86400,"")/VALUE(SUBSTITUTE(B227,"K","")),0)/60)&amp;":"&amp;TEXT(MOD(ROUND(IFERROR(TIMEVALUE(IF(LEN(C227)-LEN(SUBSTITUTE(C227,":",""))=2,"","0:")&amp;C227)*86400,"")/VALUE(SUBSTITUTE(B227,"K","")),0),60),"00"),""))</f>
        <v/>
      </c>
      <c r="G227" s="21">
        <f>IF(A227="","",IF(COUNTIF(Atletas!$A$2:$A$302,A227)&gt;0,"Sí","No"))</f>
        <v/>
      </c>
    </row>
    <row r="228">
      <c r="A228" s="17" t="n"/>
      <c r="B228" s="17" t="n"/>
      <c r="C228" s="18" t="n"/>
      <c r="D228" s="19" t="n"/>
      <c r="E228" s="17" t="n"/>
      <c r="F228" s="21">
        <f>IF(OR(B228="",C228=""),"",IFERROR(INT(ROUND(IFERROR(TIMEVALUE(IF(LEN(C228)-LEN(SUBSTITUTE(C228,":",""))=2,"","0:")&amp;C228)*86400,"")/VALUE(SUBSTITUTE(B228,"K","")),0)/60)&amp;":"&amp;TEXT(MOD(ROUND(IFERROR(TIMEVALUE(IF(LEN(C228)-LEN(SUBSTITUTE(C228,":",""))=2,"","0:")&amp;C228)*86400,"")/VALUE(SUBSTITUTE(B228,"K","")),0),60),"00"),""))</f>
        <v/>
      </c>
      <c r="G228" s="21">
        <f>IF(A228="","",IF(COUNTIF(Atletas!$A$2:$A$302,A228)&gt;0,"Sí","No"))</f>
        <v/>
      </c>
    </row>
    <row r="229">
      <c r="A229" s="17" t="n"/>
      <c r="B229" s="17" t="n"/>
      <c r="C229" s="18" t="n"/>
      <c r="D229" s="19" t="n"/>
      <c r="E229" s="17" t="n"/>
      <c r="F229" s="21">
        <f>IF(OR(B229="",C229=""),"",IFERROR(INT(ROUND(IFERROR(TIMEVALUE(IF(LEN(C229)-LEN(SUBSTITUTE(C229,":",""))=2,"","0:")&amp;C229)*86400,"")/VALUE(SUBSTITUTE(B229,"K","")),0)/60)&amp;":"&amp;TEXT(MOD(ROUND(IFERROR(TIMEVALUE(IF(LEN(C229)-LEN(SUBSTITUTE(C229,":",""))=2,"","0:")&amp;C229)*86400,"")/VALUE(SUBSTITUTE(B229,"K","")),0),60),"00"),""))</f>
        <v/>
      </c>
      <c r="G229" s="21">
        <f>IF(A229="","",IF(COUNTIF(Atletas!$A$2:$A$302,A229)&gt;0,"Sí","No"))</f>
        <v/>
      </c>
    </row>
    <row r="230">
      <c r="A230" s="17" t="n"/>
      <c r="B230" s="17" t="n"/>
      <c r="C230" s="18" t="n"/>
      <c r="D230" s="19" t="n"/>
      <c r="E230" s="17" t="n"/>
      <c r="F230" s="21">
        <f>IF(OR(B230="",C230=""),"",IFERROR(INT(ROUND(IFERROR(TIMEVALUE(IF(LEN(C230)-LEN(SUBSTITUTE(C230,":",""))=2,"","0:")&amp;C230)*86400,"")/VALUE(SUBSTITUTE(B230,"K","")),0)/60)&amp;":"&amp;TEXT(MOD(ROUND(IFERROR(TIMEVALUE(IF(LEN(C230)-LEN(SUBSTITUTE(C230,":",""))=2,"","0:")&amp;C230)*86400,"")/VALUE(SUBSTITUTE(B230,"K","")),0),60),"00"),""))</f>
        <v/>
      </c>
      <c r="G230" s="21">
        <f>IF(A230="","",IF(COUNTIF(Atletas!$A$2:$A$302,A230)&gt;0,"Sí","No"))</f>
        <v/>
      </c>
    </row>
    <row r="231">
      <c r="A231" s="17" t="n"/>
      <c r="B231" s="17" t="n"/>
      <c r="C231" s="18" t="n"/>
      <c r="D231" s="19" t="n"/>
      <c r="E231" s="17" t="n"/>
      <c r="F231" s="21">
        <f>IF(OR(B231="",C231=""),"",IFERROR(INT(ROUND(IFERROR(TIMEVALUE(IF(LEN(C231)-LEN(SUBSTITUTE(C231,":",""))=2,"","0:")&amp;C231)*86400,"")/VALUE(SUBSTITUTE(B231,"K","")),0)/60)&amp;":"&amp;TEXT(MOD(ROUND(IFERROR(TIMEVALUE(IF(LEN(C231)-LEN(SUBSTITUTE(C231,":",""))=2,"","0:")&amp;C231)*86400,"")/VALUE(SUBSTITUTE(B231,"K","")),0),60),"00"),""))</f>
        <v/>
      </c>
      <c r="G231" s="21">
        <f>IF(A231="","",IF(COUNTIF(Atletas!$A$2:$A$302,A231)&gt;0,"Sí","No"))</f>
        <v/>
      </c>
    </row>
    <row r="232">
      <c r="A232" s="17" t="n"/>
      <c r="B232" s="17" t="n"/>
      <c r="C232" s="18" t="n"/>
      <c r="D232" s="19" t="n"/>
      <c r="E232" s="17" t="n"/>
      <c r="F232" s="21">
        <f>IF(OR(B232="",C232=""),"",IFERROR(INT(ROUND(IFERROR(TIMEVALUE(IF(LEN(C232)-LEN(SUBSTITUTE(C232,":",""))=2,"","0:")&amp;C232)*86400,"")/VALUE(SUBSTITUTE(B232,"K","")),0)/60)&amp;":"&amp;TEXT(MOD(ROUND(IFERROR(TIMEVALUE(IF(LEN(C232)-LEN(SUBSTITUTE(C232,":",""))=2,"","0:")&amp;C232)*86400,"")/VALUE(SUBSTITUTE(B232,"K","")),0),60),"00"),""))</f>
        <v/>
      </c>
      <c r="G232" s="21">
        <f>IF(A232="","",IF(COUNTIF(Atletas!$A$2:$A$302,A232)&gt;0,"Sí","No"))</f>
        <v/>
      </c>
    </row>
    <row r="233">
      <c r="A233" s="17" t="n"/>
      <c r="B233" s="17" t="n"/>
      <c r="C233" s="18" t="n"/>
      <c r="D233" s="19" t="n"/>
      <c r="E233" s="17" t="n"/>
      <c r="F233" s="21">
        <f>IF(OR(B233="",C233=""),"",IFERROR(INT(ROUND(IFERROR(TIMEVALUE(IF(LEN(C233)-LEN(SUBSTITUTE(C233,":",""))=2,"","0:")&amp;C233)*86400,"")/VALUE(SUBSTITUTE(B233,"K","")),0)/60)&amp;":"&amp;TEXT(MOD(ROUND(IFERROR(TIMEVALUE(IF(LEN(C233)-LEN(SUBSTITUTE(C233,":",""))=2,"","0:")&amp;C233)*86400,"")/VALUE(SUBSTITUTE(B233,"K","")),0),60),"00"),""))</f>
        <v/>
      </c>
      <c r="G233" s="21">
        <f>IF(A233="","",IF(COUNTIF(Atletas!$A$2:$A$302,A233)&gt;0,"Sí","No"))</f>
        <v/>
      </c>
    </row>
    <row r="234">
      <c r="A234" s="17" t="n"/>
      <c r="B234" s="17" t="n"/>
      <c r="C234" s="18" t="n"/>
      <c r="D234" s="19" t="n"/>
      <c r="E234" s="17" t="n"/>
      <c r="F234" s="21">
        <f>IF(OR(B234="",C234=""),"",IFERROR(INT(ROUND(IFERROR(TIMEVALUE(IF(LEN(C234)-LEN(SUBSTITUTE(C234,":",""))=2,"","0:")&amp;C234)*86400,"")/VALUE(SUBSTITUTE(B234,"K","")),0)/60)&amp;":"&amp;TEXT(MOD(ROUND(IFERROR(TIMEVALUE(IF(LEN(C234)-LEN(SUBSTITUTE(C234,":",""))=2,"","0:")&amp;C234)*86400,"")/VALUE(SUBSTITUTE(B234,"K","")),0),60),"00"),""))</f>
        <v/>
      </c>
      <c r="G234" s="21">
        <f>IF(A234="","",IF(COUNTIF(Atletas!$A$2:$A$302,A234)&gt;0,"Sí","No"))</f>
        <v/>
      </c>
    </row>
    <row r="235">
      <c r="A235" s="17" t="n"/>
      <c r="B235" s="17" t="n"/>
      <c r="C235" s="18" t="n"/>
      <c r="D235" s="19" t="n"/>
      <c r="E235" s="17" t="n"/>
      <c r="F235" s="21">
        <f>IF(OR(B235="",C235=""),"",IFERROR(INT(ROUND(IFERROR(TIMEVALUE(IF(LEN(C235)-LEN(SUBSTITUTE(C235,":",""))=2,"","0:")&amp;C235)*86400,"")/VALUE(SUBSTITUTE(B235,"K","")),0)/60)&amp;":"&amp;TEXT(MOD(ROUND(IFERROR(TIMEVALUE(IF(LEN(C235)-LEN(SUBSTITUTE(C235,":",""))=2,"","0:")&amp;C235)*86400,"")/VALUE(SUBSTITUTE(B235,"K","")),0),60),"00"),""))</f>
        <v/>
      </c>
      <c r="G235" s="21">
        <f>IF(A235="","",IF(COUNTIF(Atletas!$A$2:$A$302,A235)&gt;0,"Sí","No"))</f>
        <v/>
      </c>
    </row>
    <row r="236">
      <c r="A236" s="17" t="n"/>
      <c r="B236" s="17" t="n"/>
      <c r="C236" s="18" t="n"/>
      <c r="D236" s="19" t="n"/>
      <c r="E236" s="17" t="n"/>
      <c r="F236" s="21">
        <f>IF(OR(B236="",C236=""),"",IFERROR(INT(ROUND(IFERROR(TIMEVALUE(IF(LEN(C236)-LEN(SUBSTITUTE(C236,":",""))=2,"","0:")&amp;C236)*86400,"")/VALUE(SUBSTITUTE(B236,"K","")),0)/60)&amp;":"&amp;TEXT(MOD(ROUND(IFERROR(TIMEVALUE(IF(LEN(C236)-LEN(SUBSTITUTE(C236,":",""))=2,"","0:")&amp;C236)*86400,"")/VALUE(SUBSTITUTE(B236,"K","")),0),60),"00"),""))</f>
        <v/>
      </c>
      <c r="G236" s="21">
        <f>IF(A236="","",IF(COUNTIF(Atletas!$A$2:$A$302,A236)&gt;0,"Sí","No"))</f>
        <v/>
      </c>
    </row>
    <row r="237">
      <c r="A237" s="17" t="n"/>
      <c r="B237" s="17" t="n"/>
      <c r="C237" s="18" t="n"/>
      <c r="D237" s="19" t="n"/>
      <c r="E237" s="17" t="n"/>
      <c r="F237" s="21">
        <f>IF(OR(B237="",C237=""),"",IFERROR(INT(ROUND(IFERROR(TIMEVALUE(IF(LEN(C237)-LEN(SUBSTITUTE(C237,":",""))=2,"","0:")&amp;C237)*86400,"")/VALUE(SUBSTITUTE(B237,"K","")),0)/60)&amp;":"&amp;TEXT(MOD(ROUND(IFERROR(TIMEVALUE(IF(LEN(C237)-LEN(SUBSTITUTE(C237,":",""))=2,"","0:")&amp;C237)*86400,"")/VALUE(SUBSTITUTE(B237,"K","")),0),60),"00"),""))</f>
        <v/>
      </c>
      <c r="G237" s="21">
        <f>IF(A237="","",IF(COUNTIF(Atletas!$A$2:$A$302,A237)&gt;0,"Sí","No"))</f>
        <v/>
      </c>
    </row>
    <row r="238">
      <c r="A238" s="17" t="n"/>
      <c r="B238" s="17" t="n"/>
      <c r="C238" s="18" t="n"/>
      <c r="D238" s="19" t="n"/>
      <c r="E238" s="17" t="n"/>
      <c r="F238" s="21">
        <f>IF(OR(B238="",C238=""),"",IFERROR(INT(ROUND(IFERROR(TIMEVALUE(IF(LEN(C238)-LEN(SUBSTITUTE(C238,":",""))=2,"","0:")&amp;C238)*86400,"")/VALUE(SUBSTITUTE(B238,"K","")),0)/60)&amp;":"&amp;TEXT(MOD(ROUND(IFERROR(TIMEVALUE(IF(LEN(C238)-LEN(SUBSTITUTE(C238,":",""))=2,"","0:")&amp;C238)*86400,"")/VALUE(SUBSTITUTE(B238,"K","")),0),60),"00"),""))</f>
        <v/>
      </c>
      <c r="G238" s="21">
        <f>IF(A238="","",IF(COUNTIF(Atletas!$A$2:$A$302,A238)&gt;0,"Sí","No"))</f>
        <v/>
      </c>
    </row>
    <row r="239">
      <c r="A239" s="17" t="n"/>
      <c r="B239" s="17" t="n"/>
      <c r="C239" s="18" t="n"/>
      <c r="D239" s="19" t="n"/>
      <c r="E239" s="17" t="n"/>
      <c r="F239" s="21">
        <f>IF(OR(B239="",C239=""),"",IFERROR(INT(ROUND(IFERROR(TIMEVALUE(IF(LEN(C239)-LEN(SUBSTITUTE(C239,":",""))=2,"","0:")&amp;C239)*86400,"")/VALUE(SUBSTITUTE(B239,"K","")),0)/60)&amp;":"&amp;TEXT(MOD(ROUND(IFERROR(TIMEVALUE(IF(LEN(C239)-LEN(SUBSTITUTE(C239,":",""))=2,"","0:")&amp;C239)*86400,"")/VALUE(SUBSTITUTE(B239,"K","")),0),60),"00"),""))</f>
        <v/>
      </c>
      <c r="G239" s="21">
        <f>IF(A239="","",IF(COUNTIF(Atletas!$A$2:$A$302,A239)&gt;0,"Sí","No"))</f>
        <v/>
      </c>
    </row>
    <row r="240">
      <c r="A240" s="17" t="n"/>
      <c r="B240" s="17" t="n"/>
      <c r="C240" s="18" t="n"/>
      <c r="D240" s="19" t="n"/>
      <c r="E240" s="17" t="n"/>
      <c r="F240" s="21">
        <f>IF(OR(B240="",C240=""),"",IFERROR(INT(ROUND(IFERROR(TIMEVALUE(IF(LEN(C240)-LEN(SUBSTITUTE(C240,":",""))=2,"","0:")&amp;C240)*86400,"")/VALUE(SUBSTITUTE(B240,"K","")),0)/60)&amp;":"&amp;TEXT(MOD(ROUND(IFERROR(TIMEVALUE(IF(LEN(C240)-LEN(SUBSTITUTE(C240,":",""))=2,"","0:")&amp;C240)*86400,"")/VALUE(SUBSTITUTE(B240,"K","")),0),60),"00"),""))</f>
        <v/>
      </c>
      <c r="G240" s="21">
        <f>IF(A240="","",IF(COUNTIF(Atletas!$A$2:$A$302,A240)&gt;0,"Sí","No"))</f>
        <v/>
      </c>
    </row>
    <row r="241">
      <c r="A241" s="17" t="n"/>
      <c r="B241" s="17" t="n"/>
      <c r="C241" s="18" t="n"/>
      <c r="D241" s="19" t="n"/>
      <c r="E241" s="17" t="n"/>
      <c r="F241" s="21">
        <f>IF(OR(B241="",C241=""),"",IFERROR(INT(ROUND(IFERROR(TIMEVALUE(IF(LEN(C241)-LEN(SUBSTITUTE(C241,":",""))=2,"","0:")&amp;C241)*86400,"")/VALUE(SUBSTITUTE(B241,"K","")),0)/60)&amp;":"&amp;TEXT(MOD(ROUND(IFERROR(TIMEVALUE(IF(LEN(C241)-LEN(SUBSTITUTE(C241,":",""))=2,"","0:")&amp;C241)*86400,"")/VALUE(SUBSTITUTE(B241,"K","")),0),60),"00"),""))</f>
        <v/>
      </c>
      <c r="G241" s="21">
        <f>IF(A241="","",IF(COUNTIF(Atletas!$A$2:$A$302,A241)&gt;0,"Sí","No"))</f>
        <v/>
      </c>
    </row>
    <row r="242">
      <c r="A242" s="17" t="n"/>
      <c r="B242" s="17" t="n"/>
      <c r="C242" s="18" t="n"/>
      <c r="D242" s="19" t="n"/>
      <c r="E242" s="17" t="n"/>
      <c r="F242" s="21">
        <f>IF(OR(B242="",C242=""),"",IFERROR(INT(ROUND(IFERROR(TIMEVALUE(IF(LEN(C242)-LEN(SUBSTITUTE(C242,":",""))=2,"","0:")&amp;C242)*86400,"")/VALUE(SUBSTITUTE(B242,"K","")),0)/60)&amp;":"&amp;TEXT(MOD(ROUND(IFERROR(TIMEVALUE(IF(LEN(C242)-LEN(SUBSTITUTE(C242,":",""))=2,"","0:")&amp;C242)*86400,"")/VALUE(SUBSTITUTE(B242,"K","")),0),60),"00"),""))</f>
        <v/>
      </c>
      <c r="G242" s="21">
        <f>IF(A242="","",IF(COUNTIF(Atletas!$A$2:$A$302,A242)&gt;0,"Sí","No"))</f>
        <v/>
      </c>
    </row>
    <row r="243">
      <c r="A243" s="17" t="n"/>
      <c r="B243" s="17" t="n"/>
      <c r="C243" s="18" t="n"/>
      <c r="D243" s="19" t="n"/>
      <c r="E243" s="17" t="n"/>
      <c r="F243" s="21">
        <f>IF(OR(B243="",C243=""),"",IFERROR(INT(ROUND(IFERROR(TIMEVALUE(IF(LEN(C243)-LEN(SUBSTITUTE(C243,":",""))=2,"","0:")&amp;C243)*86400,"")/VALUE(SUBSTITUTE(B243,"K","")),0)/60)&amp;":"&amp;TEXT(MOD(ROUND(IFERROR(TIMEVALUE(IF(LEN(C243)-LEN(SUBSTITUTE(C243,":",""))=2,"","0:")&amp;C243)*86400,"")/VALUE(SUBSTITUTE(B243,"K","")),0),60),"00"),""))</f>
        <v/>
      </c>
      <c r="G243" s="21">
        <f>IF(A243="","",IF(COUNTIF(Atletas!$A$2:$A$302,A243)&gt;0,"Sí","No"))</f>
        <v/>
      </c>
    </row>
    <row r="244">
      <c r="A244" s="17" t="n"/>
      <c r="B244" s="17" t="n"/>
      <c r="C244" s="18" t="n"/>
      <c r="D244" s="19" t="n"/>
      <c r="E244" s="17" t="n"/>
      <c r="F244" s="21">
        <f>IF(OR(B244="",C244=""),"",IFERROR(INT(ROUND(IFERROR(TIMEVALUE(IF(LEN(C244)-LEN(SUBSTITUTE(C244,":",""))=2,"","0:")&amp;C244)*86400,"")/VALUE(SUBSTITUTE(B244,"K","")),0)/60)&amp;":"&amp;TEXT(MOD(ROUND(IFERROR(TIMEVALUE(IF(LEN(C244)-LEN(SUBSTITUTE(C244,":",""))=2,"","0:")&amp;C244)*86400,"")/VALUE(SUBSTITUTE(B244,"K","")),0),60),"00"),""))</f>
        <v/>
      </c>
      <c r="G244" s="21">
        <f>IF(A244="","",IF(COUNTIF(Atletas!$A$2:$A$302,A244)&gt;0,"Sí","No"))</f>
        <v/>
      </c>
    </row>
    <row r="245">
      <c r="A245" s="17" t="n"/>
      <c r="B245" s="17" t="n"/>
      <c r="C245" s="18" t="n"/>
      <c r="D245" s="19" t="n"/>
      <c r="E245" s="17" t="n"/>
      <c r="F245" s="21">
        <f>IF(OR(B245="",C245=""),"",IFERROR(INT(ROUND(IFERROR(TIMEVALUE(IF(LEN(C245)-LEN(SUBSTITUTE(C245,":",""))=2,"","0:")&amp;C245)*86400,"")/VALUE(SUBSTITUTE(B245,"K","")),0)/60)&amp;":"&amp;TEXT(MOD(ROUND(IFERROR(TIMEVALUE(IF(LEN(C245)-LEN(SUBSTITUTE(C245,":",""))=2,"","0:")&amp;C245)*86400,"")/VALUE(SUBSTITUTE(B245,"K","")),0),60),"00"),""))</f>
        <v/>
      </c>
      <c r="G245" s="21">
        <f>IF(A245="","",IF(COUNTIF(Atletas!$A$2:$A$302,A245)&gt;0,"Sí","No"))</f>
        <v/>
      </c>
    </row>
    <row r="246">
      <c r="A246" s="17" t="n"/>
      <c r="B246" s="17" t="n"/>
      <c r="C246" s="18" t="n"/>
      <c r="D246" s="19" t="n"/>
      <c r="E246" s="17" t="n"/>
      <c r="F246" s="21">
        <f>IF(OR(B246="",C246=""),"",IFERROR(INT(ROUND(IFERROR(TIMEVALUE(IF(LEN(C246)-LEN(SUBSTITUTE(C246,":",""))=2,"","0:")&amp;C246)*86400,"")/VALUE(SUBSTITUTE(B246,"K","")),0)/60)&amp;":"&amp;TEXT(MOD(ROUND(IFERROR(TIMEVALUE(IF(LEN(C246)-LEN(SUBSTITUTE(C246,":",""))=2,"","0:")&amp;C246)*86400,"")/VALUE(SUBSTITUTE(B246,"K","")),0),60),"00"),""))</f>
        <v/>
      </c>
      <c r="G246" s="21">
        <f>IF(A246="","",IF(COUNTIF(Atletas!$A$2:$A$302,A246)&gt;0,"Sí","No"))</f>
        <v/>
      </c>
    </row>
    <row r="247">
      <c r="A247" s="17" t="n"/>
      <c r="B247" s="17" t="n"/>
      <c r="C247" s="18" t="n"/>
      <c r="D247" s="19" t="n"/>
      <c r="E247" s="17" t="n"/>
      <c r="F247" s="21">
        <f>IF(OR(B247="",C247=""),"",IFERROR(INT(ROUND(IFERROR(TIMEVALUE(IF(LEN(C247)-LEN(SUBSTITUTE(C247,":",""))=2,"","0:")&amp;C247)*86400,"")/VALUE(SUBSTITUTE(B247,"K","")),0)/60)&amp;":"&amp;TEXT(MOD(ROUND(IFERROR(TIMEVALUE(IF(LEN(C247)-LEN(SUBSTITUTE(C247,":",""))=2,"","0:")&amp;C247)*86400,"")/VALUE(SUBSTITUTE(B247,"K","")),0),60),"00"),""))</f>
        <v/>
      </c>
      <c r="G247" s="21">
        <f>IF(A247="","",IF(COUNTIF(Atletas!$A$2:$A$302,A247)&gt;0,"Sí","No"))</f>
        <v/>
      </c>
    </row>
    <row r="248">
      <c r="A248" s="17" t="n"/>
      <c r="B248" s="17" t="n"/>
      <c r="C248" s="18" t="n"/>
      <c r="D248" s="19" t="n"/>
      <c r="E248" s="17" t="n"/>
      <c r="F248" s="21">
        <f>IF(OR(B248="",C248=""),"",IFERROR(INT(ROUND(IFERROR(TIMEVALUE(IF(LEN(C248)-LEN(SUBSTITUTE(C248,":",""))=2,"","0:")&amp;C248)*86400,"")/VALUE(SUBSTITUTE(B248,"K","")),0)/60)&amp;":"&amp;TEXT(MOD(ROUND(IFERROR(TIMEVALUE(IF(LEN(C248)-LEN(SUBSTITUTE(C248,":",""))=2,"","0:")&amp;C248)*86400,"")/VALUE(SUBSTITUTE(B248,"K","")),0),60),"00"),""))</f>
        <v/>
      </c>
      <c r="G248" s="21">
        <f>IF(A248="","",IF(COUNTIF(Atletas!$A$2:$A$302,A248)&gt;0,"Sí","No"))</f>
        <v/>
      </c>
    </row>
    <row r="249">
      <c r="A249" s="17" t="n"/>
      <c r="B249" s="17" t="n"/>
      <c r="C249" s="18" t="n"/>
      <c r="D249" s="19" t="n"/>
      <c r="E249" s="17" t="n"/>
      <c r="F249" s="21">
        <f>IF(OR(B249="",C249=""),"",IFERROR(INT(ROUND(IFERROR(TIMEVALUE(IF(LEN(C249)-LEN(SUBSTITUTE(C249,":",""))=2,"","0:")&amp;C249)*86400,"")/VALUE(SUBSTITUTE(B249,"K","")),0)/60)&amp;":"&amp;TEXT(MOD(ROUND(IFERROR(TIMEVALUE(IF(LEN(C249)-LEN(SUBSTITUTE(C249,":",""))=2,"","0:")&amp;C249)*86400,"")/VALUE(SUBSTITUTE(B249,"K","")),0),60),"00"),""))</f>
        <v/>
      </c>
      <c r="G249" s="21">
        <f>IF(A249="","",IF(COUNTIF(Atletas!$A$2:$A$302,A249)&gt;0,"Sí","No"))</f>
        <v/>
      </c>
    </row>
    <row r="250">
      <c r="A250" s="17" t="n"/>
      <c r="B250" s="17" t="n"/>
      <c r="C250" s="18" t="n"/>
      <c r="D250" s="19" t="n"/>
      <c r="E250" s="17" t="n"/>
      <c r="F250" s="21">
        <f>IF(OR(B250="",C250=""),"",IFERROR(INT(ROUND(IFERROR(TIMEVALUE(IF(LEN(C250)-LEN(SUBSTITUTE(C250,":",""))=2,"","0:")&amp;C250)*86400,"")/VALUE(SUBSTITUTE(B250,"K","")),0)/60)&amp;":"&amp;TEXT(MOD(ROUND(IFERROR(TIMEVALUE(IF(LEN(C250)-LEN(SUBSTITUTE(C250,":",""))=2,"","0:")&amp;C250)*86400,"")/VALUE(SUBSTITUTE(B250,"K","")),0),60),"00"),""))</f>
        <v/>
      </c>
      <c r="G250" s="21">
        <f>IF(A250="","",IF(COUNTIF(Atletas!$A$2:$A$302,A250)&gt;0,"Sí","No"))</f>
        <v/>
      </c>
    </row>
    <row r="251">
      <c r="A251" s="17" t="n"/>
      <c r="B251" s="17" t="n"/>
      <c r="C251" s="18" t="n"/>
      <c r="D251" s="19" t="n"/>
      <c r="E251" s="17" t="n"/>
      <c r="F251" s="21">
        <f>IF(OR(B251="",C251=""),"",IFERROR(INT(ROUND(IFERROR(TIMEVALUE(IF(LEN(C251)-LEN(SUBSTITUTE(C251,":",""))=2,"","0:")&amp;C251)*86400,"")/VALUE(SUBSTITUTE(B251,"K","")),0)/60)&amp;":"&amp;TEXT(MOD(ROUND(IFERROR(TIMEVALUE(IF(LEN(C251)-LEN(SUBSTITUTE(C251,":",""))=2,"","0:")&amp;C251)*86400,"")/VALUE(SUBSTITUTE(B251,"K","")),0),60),"00"),""))</f>
        <v/>
      </c>
      <c r="G251" s="21">
        <f>IF(A251="","",IF(COUNTIF(Atletas!$A$2:$A$302,A251)&gt;0,"Sí","No"))</f>
        <v/>
      </c>
    </row>
    <row r="252">
      <c r="A252" s="17" t="n"/>
      <c r="B252" s="17" t="n"/>
      <c r="C252" s="18" t="n"/>
      <c r="D252" s="19" t="n"/>
      <c r="E252" s="17" t="n"/>
      <c r="F252" s="21">
        <f>IF(OR(B252="",C252=""),"",IFERROR(INT(ROUND(IFERROR(TIMEVALUE(IF(LEN(C252)-LEN(SUBSTITUTE(C252,":",""))=2,"","0:")&amp;C252)*86400,"")/VALUE(SUBSTITUTE(B252,"K","")),0)/60)&amp;":"&amp;TEXT(MOD(ROUND(IFERROR(TIMEVALUE(IF(LEN(C252)-LEN(SUBSTITUTE(C252,":",""))=2,"","0:")&amp;C252)*86400,"")/VALUE(SUBSTITUTE(B252,"K","")),0),60),"00"),""))</f>
        <v/>
      </c>
      <c r="G252" s="21">
        <f>IF(A252="","",IF(COUNTIF(Atletas!$A$2:$A$302,A252)&gt;0,"Sí","No"))</f>
        <v/>
      </c>
    </row>
    <row r="253">
      <c r="A253" s="17" t="n"/>
      <c r="B253" s="17" t="n"/>
      <c r="C253" s="18" t="n"/>
      <c r="D253" s="19" t="n"/>
      <c r="E253" s="17" t="n"/>
      <c r="F253" s="21">
        <f>IF(OR(B253="",C253=""),"",IFERROR(INT(ROUND(IFERROR(TIMEVALUE(IF(LEN(C253)-LEN(SUBSTITUTE(C253,":",""))=2,"","0:")&amp;C253)*86400,"")/VALUE(SUBSTITUTE(B253,"K","")),0)/60)&amp;":"&amp;TEXT(MOD(ROUND(IFERROR(TIMEVALUE(IF(LEN(C253)-LEN(SUBSTITUTE(C253,":",""))=2,"","0:")&amp;C253)*86400,"")/VALUE(SUBSTITUTE(B253,"K","")),0),60),"00"),""))</f>
        <v/>
      </c>
      <c r="G253" s="21">
        <f>IF(A253="","",IF(COUNTIF(Atletas!$A$2:$A$302,A253)&gt;0,"Sí","No"))</f>
        <v/>
      </c>
    </row>
    <row r="254">
      <c r="A254" s="17" t="n"/>
      <c r="B254" s="17" t="n"/>
      <c r="C254" s="18" t="n"/>
      <c r="D254" s="19" t="n"/>
      <c r="E254" s="17" t="n"/>
      <c r="F254" s="21">
        <f>IF(OR(B254="",C254=""),"",IFERROR(INT(ROUND(IFERROR(TIMEVALUE(IF(LEN(C254)-LEN(SUBSTITUTE(C254,":",""))=2,"","0:")&amp;C254)*86400,"")/VALUE(SUBSTITUTE(B254,"K","")),0)/60)&amp;":"&amp;TEXT(MOD(ROUND(IFERROR(TIMEVALUE(IF(LEN(C254)-LEN(SUBSTITUTE(C254,":",""))=2,"","0:")&amp;C254)*86400,"")/VALUE(SUBSTITUTE(B254,"K","")),0),60),"00"),""))</f>
        <v/>
      </c>
      <c r="G254" s="21">
        <f>IF(A254="","",IF(COUNTIF(Atletas!$A$2:$A$302,A254)&gt;0,"Sí","No"))</f>
        <v/>
      </c>
    </row>
    <row r="255">
      <c r="A255" s="17" t="n"/>
      <c r="B255" s="17" t="n"/>
      <c r="C255" s="18" t="n"/>
      <c r="D255" s="19" t="n"/>
      <c r="E255" s="17" t="n"/>
      <c r="F255" s="21">
        <f>IF(OR(B255="",C255=""),"",IFERROR(INT(ROUND(IFERROR(TIMEVALUE(IF(LEN(C255)-LEN(SUBSTITUTE(C255,":",""))=2,"","0:")&amp;C255)*86400,"")/VALUE(SUBSTITUTE(B255,"K","")),0)/60)&amp;":"&amp;TEXT(MOD(ROUND(IFERROR(TIMEVALUE(IF(LEN(C255)-LEN(SUBSTITUTE(C255,":",""))=2,"","0:")&amp;C255)*86400,"")/VALUE(SUBSTITUTE(B255,"K","")),0),60),"00"),""))</f>
        <v/>
      </c>
      <c r="G255" s="21">
        <f>IF(A255="","",IF(COUNTIF(Atletas!$A$2:$A$302,A255)&gt;0,"Sí","No"))</f>
        <v/>
      </c>
    </row>
    <row r="256">
      <c r="A256" s="17" t="n"/>
      <c r="B256" s="17" t="n"/>
      <c r="C256" s="18" t="n"/>
      <c r="D256" s="19" t="n"/>
      <c r="E256" s="17" t="n"/>
      <c r="F256" s="21">
        <f>IF(OR(B256="",C256=""),"",IFERROR(INT(ROUND(IFERROR(TIMEVALUE(IF(LEN(C256)-LEN(SUBSTITUTE(C256,":",""))=2,"","0:")&amp;C256)*86400,"")/VALUE(SUBSTITUTE(B256,"K","")),0)/60)&amp;":"&amp;TEXT(MOD(ROUND(IFERROR(TIMEVALUE(IF(LEN(C256)-LEN(SUBSTITUTE(C256,":",""))=2,"","0:")&amp;C256)*86400,"")/VALUE(SUBSTITUTE(B256,"K","")),0),60),"00"),""))</f>
        <v/>
      </c>
      <c r="G256" s="21">
        <f>IF(A256="","",IF(COUNTIF(Atletas!$A$2:$A$302,A256)&gt;0,"Sí","No"))</f>
        <v/>
      </c>
    </row>
    <row r="257">
      <c r="A257" s="17" t="n"/>
      <c r="B257" s="17" t="n"/>
      <c r="C257" s="18" t="n"/>
      <c r="D257" s="19" t="n"/>
      <c r="E257" s="17" t="n"/>
      <c r="F257" s="21">
        <f>IF(OR(B257="",C257=""),"",IFERROR(INT(ROUND(IFERROR(TIMEVALUE(IF(LEN(C257)-LEN(SUBSTITUTE(C257,":",""))=2,"","0:")&amp;C257)*86400,"")/VALUE(SUBSTITUTE(B257,"K","")),0)/60)&amp;":"&amp;TEXT(MOD(ROUND(IFERROR(TIMEVALUE(IF(LEN(C257)-LEN(SUBSTITUTE(C257,":",""))=2,"","0:")&amp;C257)*86400,"")/VALUE(SUBSTITUTE(B257,"K","")),0),60),"00"),""))</f>
        <v/>
      </c>
      <c r="G257" s="21">
        <f>IF(A257="","",IF(COUNTIF(Atletas!$A$2:$A$302,A257)&gt;0,"Sí","No"))</f>
        <v/>
      </c>
    </row>
    <row r="258">
      <c r="A258" s="17" t="n"/>
      <c r="B258" s="17" t="n"/>
      <c r="C258" s="18" t="n"/>
      <c r="D258" s="19" t="n"/>
      <c r="E258" s="17" t="n"/>
      <c r="F258" s="21">
        <f>IF(OR(B258="",C258=""),"",IFERROR(INT(ROUND(IFERROR(TIMEVALUE(IF(LEN(C258)-LEN(SUBSTITUTE(C258,":",""))=2,"","0:")&amp;C258)*86400,"")/VALUE(SUBSTITUTE(B258,"K","")),0)/60)&amp;":"&amp;TEXT(MOD(ROUND(IFERROR(TIMEVALUE(IF(LEN(C258)-LEN(SUBSTITUTE(C258,":",""))=2,"","0:")&amp;C258)*86400,"")/VALUE(SUBSTITUTE(B258,"K","")),0),60),"00"),""))</f>
        <v/>
      </c>
      <c r="G258" s="21">
        <f>IF(A258="","",IF(COUNTIF(Atletas!$A$2:$A$302,A258)&gt;0,"Sí","No"))</f>
        <v/>
      </c>
    </row>
    <row r="259">
      <c r="A259" s="17" t="n"/>
      <c r="B259" s="17" t="n"/>
      <c r="C259" s="18" t="n"/>
      <c r="D259" s="19" t="n"/>
      <c r="E259" s="17" t="n"/>
      <c r="F259" s="21">
        <f>IF(OR(B259="",C259=""),"",IFERROR(INT(ROUND(IFERROR(TIMEVALUE(IF(LEN(C259)-LEN(SUBSTITUTE(C259,":",""))=2,"","0:")&amp;C259)*86400,"")/VALUE(SUBSTITUTE(B259,"K","")),0)/60)&amp;":"&amp;TEXT(MOD(ROUND(IFERROR(TIMEVALUE(IF(LEN(C259)-LEN(SUBSTITUTE(C259,":",""))=2,"","0:")&amp;C259)*86400,"")/VALUE(SUBSTITUTE(B259,"K","")),0),60),"00"),""))</f>
        <v/>
      </c>
      <c r="G259" s="21">
        <f>IF(A259="","",IF(COUNTIF(Atletas!$A$2:$A$302,A259)&gt;0,"Sí","No"))</f>
        <v/>
      </c>
    </row>
    <row r="260">
      <c r="A260" s="17" t="n"/>
      <c r="B260" s="17" t="n"/>
      <c r="C260" s="18" t="n"/>
      <c r="D260" s="19" t="n"/>
      <c r="E260" s="17" t="n"/>
      <c r="F260" s="21">
        <f>IF(OR(B260="",C260=""),"",IFERROR(INT(ROUND(IFERROR(TIMEVALUE(IF(LEN(C260)-LEN(SUBSTITUTE(C260,":",""))=2,"","0:")&amp;C260)*86400,"")/VALUE(SUBSTITUTE(B260,"K","")),0)/60)&amp;":"&amp;TEXT(MOD(ROUND(IFERROR(TIMEVALUE(IF(LEN(C260)-LEN(SUBSTITUTE(C260,":",""))=2,"","0:")&amp;C260)*86400,"")/VALUE(SUBSTITUTE(B260,"K","")),0),60),"00"),""))</f>
        <v/>
      </c>
      <c r="G260" s="21">
        <f>IF(A260="","",IF(COUNTIF(Atletas!$A$2:$A$302,A260)&gt;0,"Sí","No"))</f>
        <v/>
      </c>
    </row>
    <row r="261">
      <c r="A261" s="17" t="n"/>
      <c r="B261" s="17" t="n"/>
      <c r="C261" s="18" t="n"/>
      <c r="D261" s="19" t="n"/>
      <c r="E261" s="17" t="n"/>
      <c r="F261" s="21">
        <f>IF(OR(B261="",C261=""),"",IFERROR(INT(ROUND(IFERROR(TIMEVALUE(IF(LEN(C261)-LEN(SUBSTITUTE(C261,":",""))=2,"","0:")&amp;C261)*86400,"")/VALUE(SUBSTITUTE(B261,"K","")),0)/60)&amp;":"&amp;TEXT(MOD(ROUND(IFERROR(TIMEVALUE(IF(LEN(C261)-LEN(SUBSTITUTE(C261,":",""))=2,"","0:")&amp;C261)*86400,"")/VALUE(SUBSTITUTE(B261,"K","")),0),60),"00"),""))</f>
        <v/>
      </c>
      <c r="G261" s="21">
        <f>IF(A261="","",IF(COUNTIF(Atletas!$A$2:$A$302,A261)&gt;0,"Sí","No"))</f>
        <v/>
      </c>
    </row>
    <row r="262">
      <c r="A262" s="17" t="n"/>
      <c r="B262" s="17" t="n"/>
      <c r="C262" s="18" t="n"/>
      <c r="D262" s="19" t="n"/>
      <c r="E262" s="17" t="n"/>
      <c r="F262" s="21">
        <f>IF(OR(B262="",C262=""),"",IFERROR(INT(ROUND(IFERROR(TIMEVALUE(IF(LEN(C262)-LEN(SUBSTITUTE(C262,":",""))=2,"","0:")&amp;C262)*86400,"")/VALUE(SUBSTITUTE(B262,"K","")),0)/60)&amp;":"&amp;TEXT(MOD(ROUND(IFERROR(TIMEVALUE(IF(LEN(C262)-LEN(SUBSTITUTE(C262,":",""))=2,"","0:")&amp;C262)*86400,"")/VALUE(SUBSTITUTE(B262,"K","")),0),60),"00"),""))</f>
        <v/>
      </c>
      <c r="G262" s="21">
        <f>IF(A262="","",IF(COUNTIF(Atletas!$A$2:$A$302,A262)&gt;0,"Sí","No"))</f>
        <v/>
      </c>
    </row>
    <row r="263">
      <c r="A263" s="17" t="n"/>
      <c r="B263" s="17" t="n"/>
      <c r="C263" s="18" t="n"/>
      <c r="D263" s="19" t="n"/>
      <c r="E263" s="17" t="n"/>
      <c r="F263" s="21">
        <f>IF(OR(B263="",C263=""),"",IFERROR(INT(ROUND(IFERROR(TIMEVALUE(IF(LEN(C263)-LEN(SUBSTITUTE(C263,":",""))=2,"","0:")&amp;C263)*86400,"")/VALUE(SUBSTITUTE(B263,"K","")),0)/60)&amp;":"&amp;TEXT(MOD(ROUND(IFERROR(TIMEVALUE(IF(LEN(C263)-LEN(SUBSTITUTE(C263,":",""))=2,"","0:")&amp;C263)*86400,"")/VALUE(SUBSTITUTE(B263,"K","")),0),60),"00"),""))</f>
        <v/>
      </c>
      <c r="G263" s="21">
        <f>IF(A263="","",IF(COUNTIF(Atletas!$A$2:$A$302,A263)&gt;0,"Sí","No"))</f>
        <v/>
      </c>
    </row>
    <row r="264">
      <c r="A264" s="17" t="n"/>
      <c r="B264" s="17" t="n"/>
      <c r="C264" s="18" t="n"/>
      <c r="D264" s="19" t="n"/>
      <c r="E264" s="17" t="n"/>
      <c r="F264" s="21">
        <f>IF(OR(B264="",C264=""),"",IFERROR(INT(ROUND(IFERROR(TIMEVALUE(IF(LEN(C264)-LEN(SUBSTITUTE(C264,":",""))=2,"","0:")&amp;C264)*86400,"")/VALUE(SUBSTITUTE(B264,"K","")),0)/60)&amp;":"&amp;TEXT(MOD(ROUND(IFERROR(TIMEVALUE(IF(LEN(C264)-LEN(SUBSTITUTE(C264,":",""))=2,"","0:")&amp;C264)*86400,"")/VALUE(SUBSTITUTE(B264,"K","")),0),60),"00"),""))</f>
        <v/>
      </c>
      <c r="G264" s="21">
        <f>IF(A264="","",IF(COUNTIF(Atletas!$A$2:$A$302,A264)&gt;0,"Sí","No"))</f>
        <v/>
      </c>
    </row>
    <row r="265">
      <c r="A265" s="17" t="n"/>
      <c r="B265" s="17" t="n"/>
      <c r="C265" s="18" t="n"/>
      <c r="D265" s="19" t="n"/>
      <c r="E265" s="17" t="n"/>
      <c r="F265" s="21">
        <f>IF(OR(B265="",C265=""),"",IFERROR(INT(ROUND(IFERROR(TIMEVALUE(IF(LEN(C265)-LEN(SUBSTITUTE(C265,":",""))=2,"","0:")&amp;C265)*86400,"")/VALUE(SUBSTITUTE(B265,"K","")),0)/60)&amp;":"&amp;TEXT(MOD(ROUND(IFERROR(TIMEVALUE(IF(LEN(C265)-LEN(SUBSTITUTE(C265,":",""))=2,"","0:")&amp;C265)*86400,"")/VALUE(SUBSTITUTE(B265,"K","")),0),60),"00"),""))</f>
        <v/>
      </c>
      <c r="G265" s="21">
        <f>IF(A265="","",IF(COUNTIF(Atletas!$A$2:$A$302,A265)&gt;0,"Sí","No"))</f>
        <v/>
      </c>
    </row>
    <row r="266">
      <c r="A266" s="17" t="n"/>
      <c r="B266" s="17" t="n"/>
      <c r="C266" s="18" t="n"/>
      <c r="D266" s="19" t="n"/>
      <c r="E266" s="17" t="n"/>
      <c r="F266" s="21">
        <f>IF(OR(B266="",C266=""),"",IFERROR(INT(ROUND(IFERROR(TIMEVALUE(IF(LEN(C266)-LEN(SUBSTITUTE(C266,":",""))=2,"","0:")&amp;C266)*86400,"")/VALUE(SUBSTITUTE(B266,"K","")),0)/60)&amp;":"&amp;TEXT(MOD(ROUND(IFERROR(TIMEVALUE(IF(LEN(C266)-LEN(SUBSTITUTE(C266,":",""))=2,"","0:")&amp;C266)*86400,"")/VALUE(SUBSTITUTE(B266,"K","")),0),60),"00"),""))</f>
        <v/>
      </c>
      <c r="G266" s="21">
        <f>IF(A266="","",IF(COUNTIF(Atletas!$A$2:$A$302,A266)&gt;0,"Sí","No"))</f>
        <v/>
      </c>
    </row>
    <row r="267">
      <c r="A267" s="17" t="n"/>
      <c r="B267" s="17" t="n"/>
      <c r="C267" s="18" t="n"/>
      <c r="D267" s="19" t="n"/>
      <c r="E267" s="17" t="n"/>
      <c r="F267" s="21">
        <f>IF(OR(B267="",C267=""),"",IFERROR(INT(ROUND(IFERROR(TIMEVALUE(IF(LEN(C267)-LEN(SUBSTITUTE(C267,":",""))=2,"","0:")&amp;C267)*86400,"")/VALUE(SUBSTITUTE(B267,"K","")),0)/60)&amp;":"&amp;TEXT(MOD(ROUND(IFERROR(TIMEVALUE(IF(LEN(C267)-LEN(SUBSTITUTE(C267,":",""))=2,"","0:")&amp;C267)*86400,"")/VALUE(SUBSTITUTE(B267,"K","")),0),60),"00"),""))</f>
        <v/>
      </c>
      <c r="G267" s="21">
        <f>IF(A267="","",IF(COUNTIF(Atletas!$A$2:$A$302,A267)&gt;0,"Sí","No"))</f>
        <v/>
      </c>
    </row>
    <row r="268">
      <c r="A268" s="17" t="n"/>
      <c r="B268" s="17" t="n"/>
      <c r="C268" s="18" t="n"/>
      <c r="D268" s="19" t="n"/>
      <c r="E268" s="17" t="n"/>
      <c r="F268" s="21">
        <f>IF(OR(B268="",C268=""),"",IFERROR(INT(ROUND(IFERROR(TIMEVALUE(IF(LEN(C268)-LEN(SUBSTITUTE(C268,":",""))=2,"","0:")&amp;C268)*86400,"")/VALUE(SUBSTITUTE(B268,"K","")),0)/60)&amp;":"&amp;TEXT(MOD(ROUND(IFERROR(TIMEVALUE(IF(LEN(C268)-LEN(SUBSTITUTE(C268,":",""))=2,"","0:")&amp;C268)*86400,"")/VALUE(SUBSTITUTE(B268,"K","")),0),60),"00"),""))</f>
        <v/>
      </c>
      <c r="G268" s="21">
        <f>IF(A268="","",IF(COUNTIF(Atletas!$A$2:$A$302,A268)&gt;0,"Sí","No"))</f>
        <v/>
      </c>
    </row>
    <row r="269">
      <c r="A269" s="17" t="n"/>
      <c r="B269" s="17" t="n"/>
      <c r="C269" s="18" t="n"/>
      <c r="D269" s="19" t="n"/>
      <c r="E269" s="17" t="n"/>
      <c r="F269" s="21">
        <f>IF(OR(B269="",C269=""),"",IFERROR(INT(ROUND(IFERROR(TIMEVALUE(IF(LEN(C269)-LEN(SUBSTITUTE(C269,":",""))=2,"","0:")&amp;C269)*86400,"")/VALUE(SUBSTITUTE(B269,"K","")),0)/60)&amp;":"&amp;TEXT(MOD(ROUND(IFERROR(TIMEVALUE(IF(LEN(C269)-LEN(SUBSTITUTE(C269,":",""))=2,"","0:")&amp;C269)*86400,"")/VALUE(SUBSTITUTE(B269,"K","")),0),60),"00"),""))</f>
        <v/>
      </c>
      <c r="G269" s="21">
        <f>IF(A269="","",IF(COUNTIF(Atletas!$A$2:$A$302,A269)&gt;0,"Sí","No"))</f>
        <v/>
      </c>
    </row>
    <row r="270">
      <c r="A270" s="17" t="n"/>
      <c r="B270" s="17" t="n"/>
      <c r="C270" s="18" t="n"/>
      <c r="D270" s="19" t="n"/>
      <c r="E270" s="17" t="n"/>
      <c r="F270" s="21">
        <f>IF(OR(B270="",C270=""),"",IFERROR(INT(ROUND(IFERROR(TIMEVALUE(IF(LEN(C270)-LEN(SUBSTITUTE(C270,":",""))=2,"","0:")&amp;C270)*86400,"")/VALUE(SUBSTITUTE(B270,"K","")),0)/60)&amp;":"&amp;TEXT(MOD(ROUND(IFERROR(TIMEVALUE(IF(LEN(C270)-LEN(SUBSTITUTE(C270,":",""))=2,"","0:")&amp;C270)*86400,"")/VALUE(SUBSTITUTE(B270,"K","")),0),60),"00"),""))</f>
        <v/>
      </c>
      <c r="G270" s="21">
        <f>IF(A270="","",IF(COUNTIF(Atletas!$A$2:$A$302,A270)&gt;0,"Sí","No"))</f>
        <v/>
      </c>
    </row>
    <row r="271">
      <c r="A271" s="17" t="n"/>
      <c r="B271" s="17" t="n"/>
      <c r="C271" s="18" t="n"/>
      <c r="D271" s="19" t="n"/>
      <c r="E271" s="17" t="n"/>
      <c r="F271" s="21">
        <f>IF(OR(B271="",C271=""),"",IFERROR(INT(ROUND(IFERROR(TIMEVALUE(IF(LEN(C271)-LEN(SUBSTITUTE(C271,":",""))=2,"","0:")&amp;C271)*86400,"")/VALUE(SUBSTITUTE(B271,"K","")),0)/60)&amp;":"&amp;TEXT(MOD(ROUND(IFERROR(TIMEVALUE(IF(LEN(C271)-LEN(SUBSTITUTE(C271,":",""))=2,"","0:")&amp;C271)*86400,"")/VALUE(SUBSTITUTE(B271,"K","")),0),60),"00"),""))</f>
        <v/>
      </c>
      <c r="G271" s="21">
        <f>IF(A271="","",IF(COUNTIF(Atletas!$A$2:$A$302,A271)&gt;0,"Sí","No"))</f>
        <v/>
      </c>
    </row>
    <row r="272">
      <c r="A272" s="17" t="n"/>
      <c r="B272" s="17" t="n"/>
      <c r="C272" s="18" t="n"/>
      <c r="D272" s="19" t="n"/>
      <c r="E272" s="17" t="n"/>
      <c r="F272" s="21">
        <f>IF(OR(B272="",C272=""),"",IFERROR(INT(ROUND(IFERROR(TIMEVALUE(IF(LEN(C272)-LEN(SUBSTITUTE(C272,":",""))=2,"","0:")&amp;C272)*86400,"")/VALUE(SUBSTITUTE(B272,"K","")),0)/60)&amp;":"&amp;TEXT(MOD(ROUND(IFERROR(TIMEVALUE(IF(LEN(C272)-LEN(SUBSTITUTE(C272,":",""))=2,"","0:")&amp;C272)*86400,"")/VALUE(SUBSTITUTE(B272,"K","")),0),60),"00"),""))</f>
        <v/>
      </c>
      <c r="G272" s="21">
        <f>IF(A272="","",IF(COUNTIF(Atletas!$A$2:$A$302,A272)&gt;0,"Sí","No"))</f>
        <v/>
      </c>
    </row>
    <row r="273">
      <c r="A273" s="17" t="n"/>
      <c r="B273" s="17" t="n"/>
      <c r="C273" s="18" t="n"/>
      <c r="D273" s="19" t="n"/>
      <c r="E273" s="17" t="n"/>
      <c r="F273" s="21">
        <f>IF(OR(B273="",C273=""),"",IFERROR(INT(ROUND(IFERROR(TIMEVALUE(IF(LEN(C273)-LEN(SUBSTITUTE(C273,":",""))=2,"","0:")&amp;C273)*86400,"")/VALUE(SUBSTITUTE(B273,"K","")),0)/60)&amp;":"&amp;TEXT(MOD(ROUND(IFERROR(TIMEVALUE(IF(LEN(C273)-LEN(SUBSTITUTE(C273,":",""))=2,"","0:")&amp;C273)*86400,"")/VALUE(SUBSTITUTE(B273,"K","")),0),60),"00"),""))</f>
        <v/>
      </c>
      <c r="G273" s="21">
        <f>IF(A273="","",IF(COUNTIF(Atletas!$A$2:$A$302,A273)&gt;0,"Sí","No"))</f>
        <v/>
      </c>
    </row>
    <row r="274">
      <c r="A274" s="17" t="n"/>
      <c r="B274" s="17" t="n"/>
      <c r="C274" s="18" t="n"/>
      <c r="D274" s="19" t="n"/>
      <c r="E274" s="17" t="n"/>
      <c r="F274" s="21">
        <f>IF(OR(B274="",C274=""),"",IFERROR(INT(ROUND(IFERROR(TIMEVALUE(IF(LEN(C274)-LEN(SUBSTITUTE(C274,":",""))=2,"","0:")&amp;C274)*86400,"")/VALUE(SUBSTITUTE(B274,"K","")),0)/60)&amp;":"&amp;TEXT(MOD(ROUND(IFERROR(TIMEVALUE(IF(LEN(C274)-LEN(SUBSTITUTE(C274,":",""))=2,"","0:")&amp;C274)*86400,"")/VALUE(SUBSTITUTE(B274,"K","")),0),60),"00"),""))</f>
        <v/>
      </c>
      <c r="G274" s="21">
        <f>IF(A274="","",IF(COUNTIF(Atletas!$A$2:$A$302,A274)&gt;0,"Sí","No"))</f>
        <v/>
      </c>
    </row>
    <row r="275">
      <c r="A275" s="17" t="n"/>
      <c r="B275" s="17" t="n"/>
      <c r="C275" s="18" t="n"/>
      <c r="D275" s="19" t="n"/>
      <c r="E275" s="17" t="n"/>
      <c r="F275" s="21">
        <f>IF(OR(B275="",C275=""),"",IFERROR(INT(ROUND(IFERROR(TIMEVALUE(IF(LEN(C275)-LEN(SUBSTITUTE(C275,":",""))=2,"","0:")&amp;C275)*86400,"")/VALUE(SUBSTITUTE(B275,"K","")),0)/60)&amp;":"&amp;TEXT(MOD(ROUND(IFERROR(TIMEVALUE(IF(LEN(C275)-LEN(SUBSTITUTE(C275,":",""))=2,"","0:")&amp;C275)*86400,"")/VALUE(SUBSTITUTE(B275,"K","")),0),60),"00"),""))</f>
        <v/>
      </c>
      <c r="G275" s="21">
        <f>IF(A275="","",IF(COUNTIF(Atletas!$A$2:$A$302,A275)&gt;0,"Sí","No"))</f>
        <v/>
      </c>
    </row>
    <row r="276">
      <c r="A276" s="17" t="n"/>
      <c r="B276" s="17" t="n"/>
      <c r="C276" s="18" t="n"/>
      <c r="D276" s="19" t="n"/>
      <c r="E276" s="17" t="n"/>
      <c r="F276" s="21">
        <f>IF(OR(B276="",C276=""),"",IFERROR(INT(ROUND(IFERROR(TIMEVALUE(IF(LEN(C276)-LEN(SUBSTITUTE(C276,":",""))=2,"","0:")&amp;C276)*86400,"")/VALUE(SUBSTITUTE(B276,"K","")),0)/60)&amp;":"&amp;TEXT(MOD(ROUND(IFERROR(TIMEVALUE(IF(LEN(C276)-LEN(SUBSTITUTE(C276,":",""))=2,"","0:")&amp;C276)*86400,"")/VALUE(SUBSTITUTE(B276,"K","")),0),60),"00"),""))</f>
        <v/>
      </c>
      <c r="G276" s="21">
        <f>IF(A276="","",IF(COUNTIF(Atletas!$A$2:$A$302,A276)&gt;0,"Sí","No"))</f>
        <v/>
      </c>
    </row>
    <row r="277">
      <c r="A277" s="17" t="n"/>
      <c r="B277" s="17" t="n"/>
      <c r="C277" s="18" t="n"/>
      <c r="D277" s="19" t="n"/>
      <c r="E277" s="17" t="n"/>
      <c r="F277" s="21">
        <f>IF(OR(B277="",C277=""),"",IFERROR(INT(ROUND(IFERROR(TIMEVALUE(IF(LEN(C277)-LEN(SUBSTITUTE(C277,":",""))=2,"","0:")&amp;C277)*86400,"")/VALUE(SUBSTITUTE(B277,"K","")),0)/60)&amp;":"&amp;TEXT(MOD(ROUND(IFERROR(TIMEVALUE(IF(LEN(C277)-LEN(SUBSTITUTE(C277,":",""))=2,"","0:")&amp;C277)*86400,"")/VALUE(SUBSTITUTE(B277,"K","")),0),60),"00"),""))</f>
        <v/>
      </c>
      <c r="G277" s="21">
        <f>IF(A277="","",IF(COUNTIF(Atletas!$A$2:$A$302,A277)&gt;0,"Sí","No"))</f>
        <v/>
      </c>
    </row>
    <row r="278">
      <c r="A278" s="17" t="n"/>
      <c r="B278" s="17" t="n"/>
      <c r="C278" s="18" t="n"/>
      <c r="D278" s="19" t="n"/>
      <c r="E278" s="17" t="n"/>
      <c r="F278" s="21">
        <f>IF(OR(B278="",C278=""),"",IFERROR(INT(ROUND(IFERROR(TIMEVALUE(IF(LEN(C278)-LEN(SUBSTITUTE(C278,":",""))=2,"","0:")&amp;C278)*86400,"")/VALUE(SUBSTITUTE(B278,"K","")),0)/60)&amp;":"&amp;TEXT(MOD(ROUND(IFERROR(TIMEVALUE(IF(LEN(C278)-LEN(SUBSTITUTE(C278,":",""))=2,"","0:")&amp;C278)*86400,"")/VALUE(SUBSTITUTE(B278,"K","")),0),60),"00"),""))</f>
        <v/>
      </c>
      <c r="G278" s="21">
        <f>IF(A278="","",IF(COUNTIF(Atletas!$A$2:$A$302,A278)&gt;0,"Sí","No"))</f>
        <v/>
      </c>
    </row>
    <row r="279">
      <c r="A279" s="17" t="n"/>
      <c r="B279" s="17" t="n"/>
      <c r="C279" s="18" t="n"/>
      <c r="D279" s="19" t="n"/>
      <c r="E279" s="17" t="n"/>
      <c r="F279" s="21">
        <f>IF(OR(B279="",C279=""),"",IFERROR(INT(ROUND(IFERROR(TIMEVALUE(IF(LEN(C279)-LEN(SUBSTITUTE(C279,":",""))=2,"","0:")&amp;C279)*86400,"")/VALUE(SUBSTITUTE(B279,"K","")),0)/60)&amp;":"&amp;TEXT(MOD(ROUND(IFERROR(TIMEVALUE(IF(LEN(C279)-LEN(SUBSTITUTE(C279,":",""))=2,"","0:")&amp;C279)*86400,"")/VALUE(SUBSTITUTE(B279,"K","")),0),60),"00"),""))</f>
        <v/>
      </c>
      <c r="G279" s="21">
        <f>IF(A279="","",IF(COUNTIF(Atletas!$A$2:$A$302,A279)&gt;0,"Sí","No"))</f>
        <v/>
      </c>
    </row>
    <row r="280">
      <c r="A280" s="17" t="n"/>
      <c r="B280" s="17" t="n"/>
      <c r="C280" s="18" t="n"/>
      <c r="D280" s="19" t="n"/>
      <c r="E280" s="17" t="n"/>
      <c r="F280" s="21">
        <f>IF(OR(B280="",C280=""),"",IFERROR(INT(ROUND(IFERROR(TIMEVALUE(IF(LEN(C280)-LEN(SUBSTITUTE(C280,":",""))=2,"","0:")&amp;C280)*86400,"")/VALUE(SUBSTITUTE(B280,"K","")),0)/60)&amp;":"&amp;TEXT(MOD(ROUND(IFERROR(TIMEVALUE(IF(LEN(C280)-LEN(SUBSTITUTE(C280,":",""))=2,"","0:")&amp;C280)*86400,"")/VALUE(SUBSTITUTE(B280,"K","")),0),60),"00"),""))</f>
        <v/>
      </c>
      <c r="G280" s="21">
        <f>IF(A280="","",IF(COUNTIF(Atletas!$A$2:$A$302,A280)&gt;0,"Sí","No"))</f>
        <v/>
      </c>
    </row>
    <row r="281">
      <c r="A281" s="17" t="n"/>
      <c r="B281" s="17" t="n"/>
      <c r="C281" s="18" t="n"/>
      <c r="D281" s="19" t="n"/>
      <c r="E281" s="17" t="n"/>
      <c r="F281" s="21">
        <f>IF(OR(B281="",C281=""),"",IFERROR(INT(ROUND(IFERROR(TIMEVALUE(IF(LEN(C281)-LEN(SUBSTITUTE(C281,":",""))=2,"","0:")&amp;C281)*86400,"")/VALUE(SUBSTITUTE(B281,"K","")),0)/60)&amp;":"&amp;TEXT(MOD(ROUND(IFERROR(TIMEVALUE(IF(LEN(C281)-LEN(SUBSTITUTE(C281,":",""))=2,"","0:")&amp;C281)*86400,"")/VALUE(SUBSTITUTE(B281,"K","")),0),60),"00"),""))</f>
        <v/>
      </c>
      <c r="G281" s="21">
        <f>IF(A281="","",IF(COUNTIF(Atletas!$A$2:$A$302,A281)&gt;0,"Sí","No"))</f>
        <v/>
      </c>
    </row>
    <row r="282">
      <c r="A282" s="17" t="n"/>
      <c r="B282" s="17" t="n"/>
      <c r="C282" s="18" t="n"/>
      <c r="D282" s="19" t="n"/>
      <c r="E282" s="17" t="n"/>
      <c r="F282" s="21">
        <f>IF(OR(B282="",C282=""),"",IFERROR(INT(ROUND(IFERROR(TIMEVALUE(IF(LEN(C282)-LEN(SUBSTITUTE(C282,":",""))=2,"","0:")&amp;C282)*86400,"")/VALUE(SUBSTITUTE(B282,"K","")),0)/60)&amp;":"&amp;TEXT(MOD(ROUND(IFERROR(TIMEVALUE(IF(LEN(C282)-LEN(SUBSTITUTE(C282,":",""))=2,"","0:")&amp;C282)*86400,"")/VALUE(SUBSTITUTE(B282,"K","")),0),60),"00"),""))</f>
        <v/>
      </c>
      <c r="G282" s="21">
        <f>IF(A282="","",IF(COUNTIF(Atletas!$A$2:$A$302,A282)&gt;0,"Sí","No"))</f>
        <v/>
      </c>
    </row>
    <row r="283">
      <c r="A283" s="17" t="n"/>
      <c r="B283" s="17" t="n"/>
      <c r="C283" s="18" t="n"/>
      <c r="D283" s="19" t="n"/>
      <c r="E283" s="17" t="n"/>
      <c r="F283" s="21">
        <f>IF(OR(B283="",C283=""),"",IFERROR(INT(ROUND(IFERROR(TIMEVALUE(IF(LEN(C283)-LEN(SUBSTITUTE(C283,":",""))=2,"","0:")&amp;C283)*86400,"")/VALUE(SUBSTITUTE(B283,"K","")),0)/60)&amp;":"&amp;TEXT(MOD(ROUND(IFERROR(TIMEVALUE(IF(LEN(C283)-LEN(SUBSTITUTE(C283,":",""))=2,"","0:")&amp;C283)*86400,"")/VALUE(SUBSTITUTE(B283,"K","")),0),60),"00"),""))</f>
        <v/>
      </c>
      <c r="G283" s="21">
        <f>IF(A283="","",IF(COUNTIF(Atletas!$A$2:$A$302,A283)&gt;0,"Sí","No"))</f>
        <v/>
      </c>
    </row>
    <row r="284">
      <c r="A284" s="17" t="n"/>
      <c r="B284" s="17" t="n"/>
      <c r="C284" s="18" t="n"/>
      <c r="D284" s="19" t="n"/>
      <c r="E284" s="17" t="n"/>
      <c r="F284" s="21">
        <f>IF(OR(B284="",C284=""),"",IFERROR(INT(ROUND(IFERROR(TIMEVALUE(IF(LEN(C284)-LEN(SUBSTITUTE(C284,":",""))=2,"","0:")&amp;C284)*86400,"")/VALUE(SUBSTITUTE(B284,"K","")),0)/60)&amp;":"&amp;TEXT(MOD(ROUND(IFERROR(TIMEVALUE(IF(LEN(C284)-LEN(SUBSTITUTE(C284,":",""))=2,"","0:")&amp;C284)*86400,"")/VALUE(SUBSTITUTE(B284,"K","")),0),60),"00"),""))</f>
        <v/>
      </c>
      <c r="G284" s="21">
        <f>IF(A284="","",IF(COUNTIF(Atletas!$A$2:$A$302,A284)&gt;0,"Sí","No"))</f>
        <v/>
      </c>
    </row>
    <row r="285">
      <c r="A285" s="17" t="n"/>
      <c r="B285" s="17" t="n"/>
      <c r="C285" s="18" t="n"/>
      <c r="D285" s="19" t="n"/>
      <c r="E285" s="17" t="n"/>
      <c r="F285" s="21">
        <f>IF(OR(B285="",C285=""),"",IFERROR(INT(ROUND(IFERROR(TIMEVALUE(IF(LEN(C285)-LEN(SUBSTITUTE(C285,":",""))=2,"","0:")&amp;C285)*86400,"")/VALUE(SUBSTITUTE(B285,"K","")),0)/60)&amp;":"&amp;TEXT(MOD(ROUND(IFERROR(TIMEVALUE(IF(LEN(C285)-LEN(SUBSTITUTE(C285,":",""))=2,"","0:")&amp;C285)*86400,"")/VALUE(SUBSTITUTE(B285,"K","")),0),60),"00"),""))</f>
        <v/>
      </c>
      <c r="G285" s="21">
        <f>IF(A285="","",IF(COUNTIF(Atletas!$A$2:$A$302,A285)&gt;0,"Sí","No"))</f>
        <v/>
      </c>
    </row>
    <row r="286">
      <c r="A286" s="17" t="n"/>
      <c r="B286" s="17" t="n"/>
      <c r="C286" s="18" t="n"/>
      <c r="D286" s="19" t="n"/>
      <c r="E286" s="17" t="n"/>
      <c r="F286" s="21">
        <f>IF(OR(B286="",C286=""),"",IFERROR(INT(ROUND(IFERROR(TIMEVALUE(IF(LEN(C286)-LEN(SUBSTITUTE(C286,":",""))=2,"","0:")&amp;C286)*86400,"")/VALUE(SUBSTITUTE(B286,"K","")),0)/60)&amp;":"&amp;TEXT(MOD(ROUND(IFERROR(TIMEVALUE(IF(LEN(C286)-LEN(SUBSTITUTE(C286,":",""))=2,"","0:")&amp;C286)*86400,"")/VALUE(SUBSTITUTE(B286,"K","")),0),60),"00"),""))</f>
        <v/>
      </c>
      <c r="G286" s="21">
        <f>IF(A286="","",IF(COUNTIF(Atletas!$A$2:$A$302,A286)&gt;0,"Sí","No"))</f>
        <v/>
      </c>
    </row>
    <row r="287">
      <c r="A287" s="17" t="n"/>
      <c r="B287" s="17" t="n"/>
      <c r="C287" s="18" t="n"/>
      <c r="D287" s="19" t="n"/>
      <c r="E287" s="17" t="n"/>
      <c r="F287" s="21">
        <f>IF(OR(B287="",C287=""),"",IFERROR(INT(ROUND(IFERROR(TIMEVALUE(IF(LEN(C287)-LEN(SUBSTITUTE(C287,":",""))=2,"","0:")&amp;C287)*86400,"")/VALUE(SUBSTITUTE(B287,"K","")),0)/60)&amp;":"&amp;TEXT(MOD(ROUND(IFERROR(TIMEVALUE(IF(LEN(C287)-LEN(SUBSTITUTE(C287,":",""))=2,"","0:")&amp;C287)*86400,"")/VALUE(SUBSTITUTE(B287,"K","")),0),60),"00"),""))</f>
        <v/>
      </c>
      <c r="G287" s="21">
        <f>IF(A287="","",IF(COUNTIF(Atletas!$A$2:$A$302,A287)&gt;0,"Sí","No"))</f>
        <v/>
      </c>
    </row>
    <row r="288">
      <c r="A288" s="17" t="n"/>
      <c r="B288" s="17" t="n"/>
      <c r="C288" s="18" t="n"/>
      <c r="D288" s="19" t="n"/>
      <c r="E288" s="17" t="n"/>
      <c r="F288" s="21">
        <f>IF(OR(B288="",C288=""),"",IFERROR(INT(ROUND(IFERROR(TIMEVALUE(IF(LEN(C288)-LEN(SUBSTITUTE(C288,":",""))=2,"","0:")&amp;C288)*86400,"")/VALUE(SUBSTITUTE(B288,"K","")),0)/60)&amp;":"&amp;TEXT(MOD(ROUND(IFERROR(TIMEVALUE(IF(LEN(C288)-LEN(SUBSTITUTE(C288,":",""))=2,"","0:")&amp;C288)*86400,"")/VALUE(SUBSTITUTE(B288,"K","")),0),60),"00"),""))</f>
        <v/>
      </c>
      <c r="G288" s="21">
        <f>IF(A288="","",IF(COUNTIF(Atletas!$A$2:$A$302,A288)&gt;0,"Sí","No"))</f>
        <v/>
      </c>
    </row>
    <row r="289">
      <c r="A289" s="17" t="n"/>
      <c r="B289" s="17" t="n"/>
      <c r="C289" s="18" t="n"/>
      <c r="D289" s="19" t="n"/>
      <c r="E289" s="17" t="n"/>
      <c r="F289" s="21">
        <f>IF(OR(B289="",C289=""),"",IFERROR(INT(ROUND(IFERROR(TIMEVALUE(IF(LEN(C289)-LEN(SUBSTITUTE(C289,":",""))=2,"","0:")&amp;C289)*86400,"")/VALUE(SUBSTITUTE(B289,"K","")),0)/60)&amp;":"&amp;TEXT(MOD(ROUND(IFERROR(TIMEVALUE(IF(LEN(C289)-LEN(SUBSTITUTE(C289,":",""))=2,"","0:")&amp;C289)*86400,"")/VALUE(SUBSTITUTE(B289,"K","")),0),60),"00"),""))</f>
        <v/>
      </c>
      <c r="G289" s="21">
        <f>IF(A289="","",IF(COUNTIF(Atletas!$A$2:$A$302,A289)&gt;0,"Sí","No"))</f>
        <v/>
      </c>
    </row>
    <row r="290">
      <c r="A290" s="17" t="n"/>
      <c r="B290" s="17" t="n"/>
      <c r="C290" s="18" t="n"/>
      <c r="D290" s="19" t="n"/>
      <c r="E290" s="17" t="n"/>
      <c r="F290" s="21">
        <f>IF(OR(B290="",C290=""),"",IFERROR(INT(ROUND(IFERROR(TIMEVALUE(IF(LEN(C290)-LEN(SUBSTITUTE(C290,":",""))=2,"","0:")&amp;C290)*86400,"")/VALUE(SUBSTITUTE(B290,"K","")),0)/60)&amp;":"&amp;TEXT(MOD(ROUND(IFERROR(TIMEVALUE(IF(LEN(C290)-LEN(SUBSTITUTE(C290,":",""))=2,"","0:")&amp;C290)*86400,"")/VALUE(SUBSTITUTE(B290,"K","")),0),60),"00"),""))</f>
        <v/>
      </c>
      <c r="G290" s="21">
        <f>IF(A290="","",IF(COUNTIF(Atletas!$A$2:$A$302,A290)&gt;0,"Sí","No"))</f>
        <v/>
      </c>
    </row>
    <row r="291">
      <c r="A291" s="17" t="n"/>
      <c r="B291" s="17" t="n"/>
      <c r="C291" s="18" t="n"/>
      <c r="D291" s="19" t="n"/>
      <c r="E291" s="17" t="n"/>
      <c r="F291" s="21">
        <f>IF(OR(B291="",C291=""),"",IFERROR(INT(ROUND(IFERROR(TIMEVALUE(IF(LEN(C291)-LEN(SUBSTITUTE(C291,":",""))=2,"","0:")&amp;C291)*86400,"")/VALUE(SUBSTITUTE(B291,"K","")),0)/60)&amp;":"&amp;TEXT(MOD(ROUND(IFERROR(TIMEVALUE(IF(LEN(C291)-LEN(SUBSTITUTE(C291,":",""))=2,"","0:")&amp;C291)*86400,"")/VALUE(SUBSTITUTE(B291,"K","")),0),60),"00"),""))</f>
        <v/>
      </c>
      <c r="G291" s="21">
        <f>IF(A291="","",IF(COUNTIF(Atletas!$A$2:$A$302,A291)&gt;0,"Sí","No"))</f>
        <v/>
      </c>
    </row>
    <row r="292">
      <c r="A292" s="17" t="n"/>
      <c r="B292" s="17" t="n"/>
      <c r="C292" s="18" t="n"/>
      <c r="D292" s="19" t="n"/>
      <c r="E292" s="17" t="n"/>
      <c r="F292" s="21">
        <f>IF(OR(B292="",C292=""),"",IFERROR(INT(ROUND(IFERROR(TIMEVALUE(IF(LEN(C292)-LEN(SUBSTITUTE(C292,":",""))=2,"","0:")&amp;C292)*86400,"")/VALUE(SUBSTITUTE(B292,"K","")),0)/60)&amp;":"&amp;TEXT(MOD(ROUND(IFERROR(TIMEVALUE(IF(LEN(C292)-LEN(SUBSTITUTE(C292,":",""))=2,"","0:")&amp;C292)*86400,"")/VALUE(SUBSTITUTE(B292,"K","")),0),60),"00"),""))</f>
        <v/>
      </c>
      <c r="G292" s="21">
        <f>IF(A292="","",IF(COUNTIF(Atletas!$A$2:$A$302,A292)&gt;0,"Sí","No"))</f>
        <v/>
      </c>
    </row>
    <row r="293">
      <c r="A293" s="17" t="n"/>
      <c r="B293" s="17" t="n"/>
      <c r="C293" s="18" t="n"/>
      <c r="D293" s="19" t="n"/>
      <c r="E293" s="17" t="n"/>
      <c r="F293" s="21">
        <f>IF(OR(B293="",C293=""),"",IFERROR(INT(ROUND(IFERROR(TIMEVALUE(IF(LEN(C293)-LEN(SUBSTITUTE(C293,":",""))=2,"","0:")&amp;C293)*86400,"")/VALUE(SUBSTITUTE(B293,"K","")),0)/60)&amp;":"&amp;TEXT(MOD(ROUND(IFERROR(TIMEVALUE(IF(LEN(C293)-LEN(SUBSTITUTE(C293,":",""))=2,"","0:")&amp;C293)*86400,"")/VALUE(SUBSTITUTE(B293,"K","")),0),60),"00"),""))</f>
        <v/>
      </c>
      <c r="G293" s="21">
        <f>IF(A293="","",IF(COUNTIF(Atletas!$A$2:$A$302,A293)&gt;0,"Sí","No"))</f>
        <v/>
      </c>
    </row>
    <row r="294">
      <c r="A294" s="17" t="n"/>
      <c r="B294" s="17" t="n"/>
      <c r="C294" s="18" t="n"/>
      <c r="D294" s="19" t="n"/>
      <c r="E294" s="17" t="n"/>
      <c r="F294" s="21">
        <f>IF(OR(B294="",C294=""),"",IFERROR(INT(ROUND(IFERROR(TIMEVALUE(IF(LEN(C294)-LEN(SUBSTITUTE(C294,":",""))=2,"","0:")&amp;C294)*86400,"")/VALUE(SUBSTITUTE(B294,"K","")),0)/60)&amp;":"&amp;TEXT(MOD(ROUND(IFERROR(TIMEVALUE(IF(LEN(C294)-LEN(SUBSTITUTE(C294,":",""))=2,"","0:")&amp;C294)*86400,"")/VALUE(SUBSTITUTE(B294,"K","")),0),60),"00"),""))</f>
        <v/>
      </c>
      <c r="G294" s="21">
        <f>IF(A294="","",IF(COUNTIF(Atletas!$A$2:$A$302,A294)&gt;0,"Sí","No"))</f>
        <v/>
      </c>
    </row>
    <row r="295">
      <c r="A295" s="17" t="n"/>
      <c r="B295" s="17" t="n"/>
      <c r="C295" s="18" t="n"/>
      <c r="D295" s="19" t="n"/>
      <c r="E295" s="17" t="n"/>
      <c r="F295" s="21">
        <f>IF(OR(B295="",C295=""),"",IFERROR(INT(ROUND(IFERROR(TIMEVALUE(IF(LEN(C295)-LEN(SUBSTITUTE(C295,":",""))=2,"","0:")&amp;C295)*86400,"")/VALUE(SUBSTITUTE(B295,"K","")),0)/60)&amp;":"&amp;TEXT(MOD(ROUND(IFERROR(TIMEVALUE(IF(LEN(C295)-LEN(SUBSTITUTE(C295,":",""))=2,"","0:")&amp;C295)*86400,"")/VALUE(SUBSTITUTE(B295,"K","")),0),60),"00"),""))</f>
        <v/>
      </c>
      <c r="G295" s="21">
        <f>IF(A295="","",IF(COUNTIF(Atletas!$A$2:$A$302,A295)&gt;0,"Sí","No"))</f>
        <v/>
      </c>
    </row>
    <row r="296">
      <c r="A296" s="17" t="n"/>
      <c r="B296" s="17" t="n"/>
      <c r="C296" s="18" t="n"/>
      <c r="D296" s="19" t="n"/>
      <c r="E296" s="17" t="n"/>
      <c r="F296" s="21">
        <f>IF(OR(B296="",C296=""),"",IFERROR(INT(ROUND(IFERROR(TIMEVALUE(IF(LEN(C296)-LEN(SUBSTITUTE(C296,":",""))=2,"","0:")&amp;C296)*86400,"")/VALUE(SUBSTITUTE(B296,"K","")),0)/60)&amp;":"&amp;TEXT(MOD(ROUND(IFERROR(TIMEVALUE(IF(LEN(C296)-LEN(SUBSTITUTE(C296,":",""))=2,"","0:")&amp;C296)*86400,"")/VALUE(SUBSTITUTE(B296,"K","")),0),60),"00"),""))</f>
        <v/>
      </c>
      <c r="G296" s="21">
        <f>IF(A296="","",IF(COUNTIF(Atletas!$A$2:$A$302,A296)&gt;0,"Sí","No"))</f>
        <v/>
      </c>
    </row>
    <row r="297">
      <c r="A297" s="17" t="n"/>
      <c r="B297" s="17" t="n"/>
      <c r="C297" s="18" t="n"/>
      <c r="D297" s="19" t="n"/>
      <c r="E297" s="17" t="n"/>
      <c r="F297" s="21">
        <f>IF(OR(B297="",C297=""),"",IFERROR(INT(ROUND(IFERROR(TIMEVALUE(IF(LEN(C297)-LEN(SUBSTITUTE(C297,":",""))=2,"","0:")&amp;C297)*86400,"")/VALUE(SUBSTITUTE(B297,"K","")),0)/60)&amp;":"&amp;TEXT(MOD(ROUND(IFERROR(TIMEVALUE(IF(LEN(C297)-LEN(SUBSTITUTE(C297,":",""))=2,"","0:")&amp;C297)*86400,"")/VALUE(SUBSTITUTE(B297,"K","")),0),60),"00"),""))</f>
        <v/>
      </c>
      <c r="G297" s="21">
        <f>IF(A297="","",IF(COUNTIF(Atletas!$A$2:$A$302,A297)&gt;0,"Sí","No"))</f>
        <v/>
      </c>
    </row>
    <row r="298">
      <c r="A298" s="17" t="n"/>
      <c r="B298" s="17" t="n"/>
      <c r="C298" s="18" t="n"/>
      <c r="D298" s="19" t="n"/>
      <c r="E298" s="17" t="n"/>
      <c r="F298" s="21">
        <f>IF(OR(B298="",C298=""),"",IFERROR(INT(ROUND(IFERROR(TIMEVALUE(IF(LEN(C298)-LEN(SUBSTITUTE(C298,":",""))=2,"","0:")&amp;C298)*86400,"")/VALUE(SUBSTITUTE(B298,"K","")),0)/60)&amp;":"&amp;TEXT(MOD(ROUND(IFERROR(TIMEVALUE(IF(LEN(C298)-LEN(SUBSTITUTE(C298,":",""))=2,"","0:")&amp;C298)*86400,"")/VALUE(SUBSTITUTE(B298,"K","")),0),60),"00"),""))</f>
        <v/>
      </c>
      <c r="G298" s="21">
        <f>IF(A298="","",IF(COUNTIF(Atletas!$A$2:$A$302,A298)&gt;0,"Sí","No"))</f>
        <v/>
      </c>
    </row>
    <row r="299">
      <c r="A299" s="17" t="n"/>
      <c r="B299" s="17" t="n"/>
      <c r="C299" s="18" t="n"/>
      <c r="D299" s="19" t="n"/>
      <c r="E299" s="17" t="n"/>
      <c r="F299" s="21">
        <f>IF(OR(B299="",C299=""),"",IFERROR(INT(ROUND(IFERROR(TIMEVALUE(IF(LEN(C299)-LEN(SUBSTITUTE(C299,":",""))=2,"","0:")&amp;C299)*86400,"")/VALUE(SUBSTITUTE(B299,"K","")),0)/60)&amp;":"&amp;TEXT(MOD(ROUND(IFERROR(TIMEVALUE(IF(LEN(C299)-LEN(SUBSTITUTE(C299,":",""))=2,"","0:")&amp;C299)*86400,"")/VALUE(SUBSTITUTE(B299,"K","")),0),60),"00"),""))</f>
        <v/>
      </c>
      <c r="G299" s="21">
        <f>IF(A299="","",IF(COUNTIF(Atletas!$A$2:$A$302,A299)&gt;0,"Sí","No"))</f>
        <v/>
      </c>
    </row>
    <row r="300">
      <c r="A300" s="17" t="n"/>
      <c r="B300" s="17" t="n"/>
      <c r="C300" s="18" t="n"/>
      <c r="D300" s="19" t="n"/>
      <c r="E300" s="17" t="n"/>
      <c r="F300" s="21">
        <f>IF(OR(B300="",C300=""),"",IFERROR(INT(ROUND(IFERROR(TIMEVALUE(IF(LEN(C300)-LEN(SUBSTITUTE(C300,":",""))=2,"","0:")&amp;C300)*86400,"")/VALUE(SUBSTITUTE(B300,"K","")),0)/60)&amp;":"&amp;TEXT(MOD(ROUND(IFERROR(TIMEVALUE(IF(LEN(C300)-LEN(SUBSTITUTE(C300,":",""))=2,"","0:")&amp;C300)*86400,"")/VALUE(SUBSTITUTE(B300,"K","")),0),60),"00"),""))</f>
        <v/>
      </c>
      <c r="G300" s="21">
        <f>IF(A300="","",IF(COUNTIF(Atletas!$A$2:$A$302,A300)&gt;0,"Sí","No"))</f>
        <v/>
      </c>
    </row>
    <row r="301">
      <c r="A301" s="17" t="n"/>
      <c r="B301" s="17" t="n"/>
      <c r="C301" s="18" t="n"/>
      <c r="D301" s="19" t="n"/>
      <c r="E301" s="17" t="n"/>
      <c r="F301" s="21">
        <f>IF(OR(B301="",C301=""),"",IFERROR(INT(ROUND(IFERROR(TIMEVALUE(IF(LEN(C301)-LEN(SUBSTITUTE(C301,":",""))=2,"","0:")&amp;C301)*86400,"")/VALUE(SUBSTITUTE(B301,"K","")),0)/60)&amp;":"&amp;TEXT(MOD(ROUND(IFERROR(TIMEVALUE(IF(LEN(C301)-LEN(SUBSTITUTE(C301,":",""))=2,"","0:")&amp;C301)*86400,"")/VALUE(SUBSTITUTE(B301,"K","")),0),60),"00"),""))</f>
        <v/>
      </c>
      <c r="G301" s="21">
        <f>IF(A301="","",IF(COUNTIF(Atletas!$A$2:$A$302,A301)&gt;0,"Sí","No"))</f>
        <v/>
      </c>
    </row>
    <row r="302">
      <c r="A302" s="17" t="n"/>
      <c r="B302" s="17" t="n"/>
      <c r="C302" s="18" t="n"/>
      <c r="D302" s="19" t="n"/>
      <c r="E302" s="17" t="n"/>
      <c r="F302" s="21">
        <f>IF(OR(B302="",C302=""),"",IFERROR(INT(ROUND(IFERROR(TIMEVALUE(IF(LEN(C302)-LEN(SUBSTITUTE(C302,":",""))=2,"","0:")&amp;C302)*86400,"")/VALUE(SUBSTITUTE(B302,"K","")),0)/60)&amp;":"&amp;TEXT(MOD(ROUND(IFERROR(TIMEVALUE(IF(LEN(C302)-LEN(SUBSTITUTE(C302,":",""))=2,"","0:")&amp;C302)*86400,"")/VALUE(SUBSTITUTE(B302,"K","")),0),60),"00"),""))</f>
        <v/>
      </c>
      <c r="G302" s="21">
        <f>IF(A302="","",IF(COUNTIF(Atletas!$A$2:$A$302,A302)&gt;0,"Sí","No"))</f>
        <v/>
      </c>
    </row>
    <row r="303">
      <c r="A303" s="17" t="n"/>
      <c r="B303" s="17" t="n"/>
      <c r="C303" s="18" t="n"/>
      <c r="D303" s="19" t="n"/>
      <c r="E303" s="17" t="n"/>
      <c r="F303" s="21">
        <f>IF(OR(B303="",C303=""),"",IFERROR(INT(ROUND(IFERROR(TIMEVALUE(IF(LEN(C303)-LEN(SUBSTITUTE(C303,":",""))=2,"","0:")&amp;C303)*86400,"")/VALUE(SUBSTITUTE(B303,"K","")),0)/60)&amp;":"&amp;TEXT(MOD(ROUND(IFERROR(TIMEVALUE(IF(LEN(C303)-LEN(SUBSTITUTE(C303,":",""))=2,"","0:")&amp;C303)*86400,"")/VALUE(SUBSTITUTE(B303,"K","")),0),60),"00"),""))</f>
        <v/>
      </c>
      <c r="G303" s="21">
        <f>IF(A303="","",IF(COUNTIF(Atletas!$A$2:$A$302,A303)&gt;0,"Sí","No"))</f>
        <v/>
      </c>
    </row>
    <row r="304">
      <c r="A304" s="17" t="n"/>
      <c r="B304" s="17" t="n"/>
      <c r="C304" s="18" t="n"/>
      <c r="D304" s="19" t="n"/>
      <c r="E304" s="17" t="n"/>
      <c r="F304" s="21">
        <f>IF(OR(B304="",C304=""),"",IFERROR(INT(ROUND(IFERROR(TIMEVALUE(IF(LEN(C304)-LEN(SUBSTITUTE(C304,":",""))=2,"","0:")&amp;C304)*86400,"")/VALUE(SUBSTITUTE(B304,"K","")),0)/60)&amp;":"&amp;TEXT(MOD(ROUND(IFERROR(TIMEVALUE(IF(LEN(C304)-LEN(SUBSTITUTE(C304,":",""))=2,"","0:")&amp;C304)*86400,"")/VALUE(SUBSTITUTE(B304,"K","")),0),60),"00"),""))</f>
        <v/>
      </c>
      <c r="G304" s="21">
        <f>IF(A304="","",IF(COUNTIF(Atletas!$A$2:$A$302,A304)&gt;0,"Sí","No"))</f>
        <v/>
      </c>
    </row>
    <row r="305">
      <c r="A305" s="17" t="n"/>
      <c r="B305" s="17" t="n"/>
      <c r="C305" s="18" t="n"/>
      <c r="D305" s="19" t="n"/>
      <c r="E305" s="17" t="n"/>
      <c r="F305" s="21">
        <f>IF(OR(B305="",C305=""),"",IFERROR(INT(ROUND(IFERROR(TIMEVALUE(IF(LEN(C305)-LEN(SUBSTITUTE(C305,":",""))=2,"","0:")&amp;C305)*86400,"")/VALUE(SUBSTITUTE(B305,"K","")),0)/60)&amp;":"&amp;TEXT(MOD(ROUND(IFERROR(TIMEVALUE(IF(LEN(C305)-LEN(SUBSTITUTE(C305,":",""))=2,"","0:")&amp;C305)*86400,"")/VALUE(SUBSTITUTE(B305,"K","")),0),60),"00"),""))</f>
        <v/>
      </c>
      <c r="G305" s="21">
        <f>IF(A305="","",IF(COUNTIF(Atletas!$A$2:$A$302,A305)&gt;0,"Sí","No"))</f>
        <v/>
      </c>
    </row>
    <row r="306">
      <c r="A306" s="17" t="n"/>
      <c r="B306" s="17" t="n"/>
      <c r="C306" s="18" t="n"/>
      <c r="D306" s="19" t="n"/>
      <c r="E306" s="17" t="n"/>
      <c r="F306" s="21">
        <f>IF(OR(B306="",C306=""),"",IFERROR(INT(ROUND(IFERROR(TIMEVALUE(IF(LEN(C306)-LEN(SUBSTITUTE(C306,":",""))=2,"","0:")&amp;C306)*86400,"")/VALUE(SUBSTITUTE(B306,"K","")),0)/60)&amp;":"&amp;TEXT(MOD(ROUND(IFERROR(TIMEVALUE(IF(LEN(C306)-LEN(SUBSTITUTE(C306,":",""))=2,"","0:")&amp;C306)*86400,"")/VALUE(SUBSTITUTE(B306,"K","")),0),60),"00"),""))</f>
        <v/>
      </c>
      <c r="G306" s="21">
        <f>IF(A306="","",IF(COUNTIF(Atletas!$A$2:$A$302,A306)&gt;0,"Sí","No"))</f>
        <v/>
      </c>
    </row>
    <row r="307">
      <c r="A307" s="17" t="n"/>
      <c r="B307" s="17" t="n"/>
      <c r="C307" s="18" t="n"/>
      <c r="D307" s="19" t="n"/>
      <c r="E307" s="17" t="n"/>
      <c r="F307" s="21">
        <f>IF(OR(B307="",C307=""),"",IFERROR(INT(ROUND(IFERROR(TIMEVALUE(IF(LEN(C307)-LEN(SUBSTITUTE(C307,":",""))=2,"","0:")&amp;C307)*86400,"")/VALUE(SUBSTITUTE(B307,"K","")),0)/60)&amp;":"&amp;TEXT(MOD(ROUND(IFERROR(TIMEVALUE(IF(LEN(C307)-LEN(SUBSTITUTE(C307,":",""))=2,"","0:")&amp;C307)*86400,"")/VALUE(SUBSTITUTE(B307,"K","")),0),60),"00"),""))</f>
        <v/>
      </c>
      <c r="G307" s="21">
        <f>IF(A307="","",IF(COUNTIF(Atletas!$A$2:$A$302,A307)&gt;0,"Sí","No"))</f>
        <v/>
      </c>
    </row>
    <row r="308">
      <c r="A308" s="17" t="n"/>
      <c r="B308" s="17" t="n"/>
      <c r="C308" s="18" t="n"/>
      <c r="D308" s="19" t="n"/>
      <c r="E308" s="17" t="n"/>
      <c r="F308" s="21">
        <f>IF(OR(B308="",C308=""),"",IFERROR(INT(ROUND(IFERROR(TIMEVALUE(IF(LEN(C308)-LEN(SUBSTITUTE(C308,":",""))=2,"","0:")&amp;C308)*86400,"")/VALUE(SUBSTITUTE(B308,"K","")),0)/60)&amp;":"&amp;TEXT(MOD(ROUND(IFERROR(TIMEVALUE(IF(LEN(C308)-LEN(SUBSTITUTE(C308,":",""))=2,"","0:")&amp;C308)*86400,"")/VALUE(SUBSTITUTE(B308,"K","")),0),60),"00"),""))</f>
        <v/>
      </c>
      <c r="G308" s="21">
        <f>IF(A308="","",IF(COUNTIF(Atletas!$A$2:$A$302,A308)&gt;0,"Sí","No"))</f>
        <v/>
      </c>
    </row>
    <row r="309">
      <c r="A309" s="17" t="n"/>
      <c r="B309" s="17" t="n"/>
      <c r="C309" s="18" t="n"/>
      <c r="D309" s="19" t="n"/>
      <c r="E309" s="17" t="n"/>
      <c r="F309" s="21">
        <f>IF(OR(B309="",C309=""),"",IFERROR(INT(ROUND(IFERROR(TIMEVALUE(IF(LEN(C309)-LEN(SUBSTITUTE(C309,":",""))=2,"","0:")&amp;C309)*86400,"")/VALUE(SUBSTITUTE(B309,"K","")),0)/60)&amp;":"&amp;TEXT(MOD(ROUND(IFERROR(TIMEVALUE(IF(LEN(C309)-LEN(SUBSTITUTE(C309,":",""))=2,"","0:")&amp;C309)*86400,"")/VALUE(SUBSTITUTE(B309,"K","")),0),60),"00"),""))</f>
        <v/>
      </c>
      <c r="G309" s="21">
        <f>IF(A309="","",IF(COUNTIF(Atletas!$A$2:$A$302,A309)&gt;0,"Sí","No"))</f>
        <v/>
      </c>
    </row>
    <row r="310">
      <c r="A310" s="17" t="n"/>
      <c r="B310" s="17" t="n"/>
      <c r="C310" s="18" t="n"/>
      <c r="D310" s="19" t="n"/>
      <c r="E310" s="17" t="n"/>
      <c r="F310" s="21">
        <f>IF(OR(B310="",C310=""),"",IFERROR(INT(ROUND(IFERROR(TIMEVALUE(IF(LEN(C310)-LEN(SUBSTITUTE(C310,":",""))=2,"","0:")&amp;C310)*86400,"")/VALUE(SUBSTITUTE(B310,"K","")),0)/60)&amp;":"&amp;TEXT(MOD(ROUND(IFERROR(TIMEVALUE(IF(LEN(C310)-LEN(SUBSTITUTE(C310,":",""))=2,"","0:")&amp;C310)*86400,"")/VALUE(SUBSTITUTE(B310,"K","")),0),60),"00"),""))</f>
        <v/>
      </c>
      <c r="G310" s="21">
        <f>IF(A310="","",IF(COUNTIF(Atletas!$A$2:$A$302,A310)&gt;0,"Sí","No"))</f>
        <v/>
      </c>
    </row>
    <row r="311">
      <c r="A311" s="17" t="n"/>
      <c r="B311" s="17" t="n"/>
      <c r="C311" s="18" t="n"/>
      <c r="D311" s="19" t="n"/>
      <c r="E311" s="17" t="n"/>
      <c r="F311" s="21">
        <f>IF(OR(B311="",C311=""),"",IFERROR(INT(ROUND(IFERROR(TIMEVALUE(IF(LEN(C311)-LEN(SUBSTITUTE(C311,":",""))=2,"","0:")&amp;C311)*86400,"")/VALUE(SUBSTITUTE(B311,"K","")),0)/60)&amp;":"&amp;TEXT(MOD(ROUND(IFERROR(TIMEVALUE(IF(LEN(C311)-LEN(SUBSTITUTE(C311,":",""))=2,"","0:")&amp;C311)*86400,"")/VALUE(SUBSTITUTE(B311,"K","")),0),60),"00"),""))</f>
        <v/>
      </c>
      <c r="G311" s="21">
        <f>IF(A311="","",IF(COUNTIF(Atletas!$A$2:$A$302,A311)&gt;0,"Sí","No"))</f>
        <v/>
      </c>
    </row>
    <row r="312">
      <c r="A312" s="17" t="n"/>
      <c r="B312" s="17" t="n"/>
      <c r="C312" s="18" t="n"/>
      <c r="D312" s="19" t="n"/>
      <c r="E312" s="17" t="n"/>
      <c r="F312" s="21">
        <f>IF(OR(B312="",C312=""),"",IFERROR(INT(ROUND(IFERROR(TIMEVALUE(IF(LEN(C312)-LEN(SUBSTITUTE(C312,":",""))=2,"","0:")&amp;C312)*86400,"")/VALUE(SUBSTITUTE(B312,"K","")),0)/60)&amp;":"&amp;TEXT(MOD(ROUND(IFERROR(TIMEVALUE(IF(LEN(C312)-LEN(SUBSTITUTE(C312,":",""))=2,"","0:")&amp;C312)*86400,"")/VALUE(SUBSTITUTE(B312,"K","")),0),60),"00"),""))</f>
        <v/>
      </c>
      <c r="G312" s="21">
        <f>IF(A312="","",IF(COUNTIF(Atletas!$A$2:$A$302,A312)&gt;0,"Sí","No"))</f>
        <v/>
      </c>
    </row>
    <row r="313">
      <c r="A313" s="17" t="n"/>
      <c r="B313" s="17" t="n"/>
      <c r="C313" s="18" t="n"/>
      <c r="D313" s="19" t="n"/>
      <c r="E313" s="17" t="n"/>
      <c r="F313" s="21">
        <f>IF(OR(B313="",C313=""),"",IFERROR(INT(ROUND(IFERROR(TIMEVALUE(IF(LEN(C313)-LEN(SUBSTITUTE(C313,":",""))=2,"","0:")&amp;C313)*86400,"")/VALUE(SUBSTITUTE(B313,"K","")),0)/60)&amp;":"&amp;TEXT(MOD(ROUND(IFERROR(TIMEVALUE(IF(LEN(C313)-LEN(SUBSTITUTE(C313,":",""))=2,"","0:")&amp;C313)*86400,"")/VALUE(SUBSTITUTE(B313,"K","")),0),60),"00"),""))</f>
        <v/>
      </c>
      <c r="G313" s="21">
        <f>IF(A313="","",IF(COUNTIF(Atletas!$A$2:$A$302,A313)&gt;0,"Sí","No"))</f>
        <v/>
      </c>
    </row>
    <row r="314">
      <c r="A314" s="17" t="n"/>
      <c r="B314" s="17" t="n"/>
      <c r="C314" s="18" t="n"/>
      <c r="D314" s="19" t="n"/>
      <c r="E314" s="17" t="n"/>
      <c r="F314" s="21">
        <f>IF(OR(B314="",C314=""),"",IFERROR(INT(ROUND(IFERROR(TIMEVALUE(IF(LEN(C314)-LEN(SUBSTITUTE(C314,":",""))=2,"","0:")&amp;C314)*86400,"")/VALUE(SUBSTITUTE(B314,"K","")),0)/60)&amp;":"&amp;TEXT(MOD(ROUND(IFERROR(TIMEVALUE(IF(LEN(C314)-LEN(SUBSTITUTE(C314,":",""))=2,"","0:")&amp;C314)*86400,"")/VALUE(SUBSTITUTE(B314,"K","")),0),60),"00"),""))</f>
        <v/>
      </c>
      <c r="G314" s="21">
        <f>IF(A314="","",IF(COUNTIF(Atletas!$A$2:$A$302,A314)&gt;0,"Sí","No"))</f>
        <v/>
      </c>
    </row>
    <row r="315">
      <c r="A315" s="17" t="n"/>
      <c r="B315" s="17" t="n"/>
      <c r="C315" s="18" t="n"/>
      <c r="D315" s="19" t="n"/>
      <c r="E315" s="17" t="n"/>
      <c r="F315" s="21">
        <f>IF(OR(B315="",C315=""),"",IFERROR(INT(ROUND(IFERROR(TIMEVALUE(IF(LEN(C315)-LEN(SUBSTITUTE(C315,":",""))=2,"","0:")&amp;C315)*86400,"")/VALUE(SUBSTITUTE(B315,"K","")),0)/60)&amp;":"&amp;TEXT(MOD(ROUND(IFERROR(TIMEVALUE(IF(LEN(C315)-LEN(SUBSTITUTE(C315,":",""))=2,"","0:")&amp;C315)*86400,"")/VALUE(SUBSTITUTE(B315,"K","")),0),60),"00"),""))</f>
        <v/>
      </c>
      <c r="G315" s="21">
        <f>IF(A315="","",IF(COUNTIF(Atletas!$A$2:$A$302,A315)&gt;0,"Sí","No"))</f>
        <v/>
      </c>
    </row>
    <row r="316">
      <c r="A316" s="17" t="n"/>
      <c r="B316" s="17" t="n"/>
      <c r="C316" s="18" t="n"/>
      <c r="D316" s="19" t="n"/>
      <c r="E316" s="17" t="n"/>
      <c r="F316" s="21">
        <f>IF(OR(B316="",C316=""),"",IFERROR(INT(ROUND(IFERROR(TIMEVALUE(IF(LEN(C316)-LEN(SUBSTITUTE(C316,":",""))=2,"","0:")&amp;C316)*86400,"")/VALUE(SUBSTITUTE(B316,"K","")),0)/60)&amp;":"&amp;TEXT(MOD(ROUND(IFERROR(TIMEVALUE(IF(LEN(C316)-LEN(SUBSTITUTE(C316,":",""))=2,"","0:")&amp;C316)*86400,"")/VALUE(SUBSTITUTE(B316,"K","")),0),60),"00"),""))</f>
        <v/>
      </c>
      <c r="G316" s="21">
        <f>IF(A316="","",IF(COUNTIF(Atletas!$A$2:$A$302,A316)&gt;0,"Sí","No"))</f>
        <v/>
      </c>
    </row>
    <row r="317">
      <c r="A317" s="17" t="n"/>
      <c r="B317" s="17" t="n"/>
      <c r="C317" s="18" t="n"/>
      <c r="D317" s="19" t="n"/>
      <c r="E317" s="17" t="n"/>
      <c r="F317" s="21">
        <f>IF(OR(B317="",C317=""),"",IFERROR(INT(ROUND(IFERROR(TIMEVALUE(IF(LEN(C317)-LEN(SUBSTITUTE(C317,":",""))=2,"","0:")&amp;C317)*86400,"")/VALUE(SUBSTITUTE(B317,"K","")),0)/60)&amp;":"&amp;TEXT(MOD(ROUND(IFERROR(TIMEVALUE(IF(LEN(C317)-LEN(SUBSTITUTE(C317,":",""))=2,"","0:")&amp;C317)*86400,"")/VALUE(SUBSTITUTE(B317,"K","")),0),60),"00"),""))</f>
        <v/>
      </c>
      <c r="G317" s="21">
        <f>IF(A317="","",IF(COUNTIF(Atletas!$A$2:$A$302,A317)&gt;0,"Sí","No"))</f>
        <v/>
      </c>
    </row>
    <row r="318">
      <c r="A318" s="17" t="n"/>
      <c r="B318" s="17" t="n"/>
      <c r="C318" s="18" t="n"/>
      <c r="D318" s="19" t="n"/>
      <c r="E318" s="17" t="n"/>
      <c r="F318" s="21">
        <f>IF(OR(B318="",C318=""),"",IFERROR(INT(ROUND(IFERROR(TIMEVALUE(IF(LEN(C318)-LEN(SUBSTITUTE(C318,":",""))=2,"","0:")&amp;C318)*86400,"")/VALUE(SUBSTITUTE(B318,"K","")),0)/60)&amp;":"&amp;TEXT(MOD(ROUND(IFERROR(TIMEVALUE(IF(LEN(C318)-LEN(SUBSTITUTE(C318,":",""))=2,"","0:")&amp;C318)*86400,"")/VALUE(SUBSTITUTE(B318,"K","")),0),60),"00"),""))</f>
        <v/>
      </c>
      <c r="G318" s="21">
        <f>IF(A318="","",IF(COUNTIF(Atletas!$A$2:$A$302,A318)&gt;0,"Sí","No"))</f>
        <v/>
      </c>
    </row>
    <row r="319">
      <c r="A319" s="17" t="n"/>
      <c r="B319" s="17" t="n"/>
      <c r="C319" s="18" t="n"/>
      <c r="D319" s="19" t="n"/>
      <c r="E319" s="17" t="n"/>
      <c r="F319" s="21">
        <f>IF(OR(B319="",C319=""),"",IFERROR(INT(ROUND(IFERROR(TIMEVALUE(IF(LEN(C319)-LEN(SUBSTITUTE(C319,":",""))=2,"","0:")&amp;C319)*86400,"")/VALUE(SUBSTITUTE(B319,"K","")),0)/60)&amp;":"&amp;TEXT(MOD(ROUND(IFERROR(TIMEVALUE(IF(LEN(C319)-LEN(SUBSTITUTE(C319,":",""))=2,"","0:")&amp;C319)*86400,"")/VALUE(SUBSTITUTE(B319,"K","")),0),60),"00"),""))</f>
        <v/>
      </c>
      <c r="G319" s="21">
        <f>IF(A319="","",IF(COUNTIF(Atletas!$A$2:$A$302,A319)&gt;0,"Sí","No"))</f>
        <v/>
      </c>
    </row>
    <row r="320">
      <c r="A320" s="17" t="n"/>
      <c r="B320" s="17" t="n"/>
      <c r="C320" s="18" t="n"/>
      <c r="D320" s="19" t="n"/>
      <c r="E320" s="17" t="n"/>
      <c r="F320" s="21">
        <f>IF(OR(B320="",C320=""),"",IFERROR(INT(ROUND(IFERROR(TIMEVALUE(IF(LEN(C320)-LEN(SUBSTITUTE(C320,":",""))=2,"","0:")&amp;C320)*86400,"")/VALUE(SUBSTITUTE(B320,"K","")),0)/60)&amp;":"&amp;TEXT(MOD(ROUND(IFERROR(TIMEVALUE(IF(LEN(C320)-LEN(SUBSTITUTE(C320,":",""))=2,"","0:")&amp;C320)*86400,"")/VALUE(SUBSTITUTE(B320,"K","")),0),60),"00"),""))</f>
        <v/>
      </c>
      <c r="G320" s="21">
        <f>IF(A320="","",IF(COUNTIF(Atletas!$A$2:$A$302,A320)&gt;0,"Sí","No"))</f>
        <v/>
      </c>
    </row>
    <row r="321">
      <c r="A321" s="17" t="n"/>
      <c r="B321" s="17" t="n"/>
      <c r="C321" s="18" t="n"/>
      <c r="D321" s="19" t="n"/>
      <c r="E321" s="17" t="n"/>
      <c r="F321" s="21">
        <f>IF(OR(B321="",C321=""),"",IFERROR(INT(ROUND(IFERROR(TIMEVALUE(IF(LEN(C321)-LEN(SUBSTITUTE(C321,":",""))=2,"","0:")&amp;C321)*86400,"")/VALUE(SUBSTITUTE(B321,"K","")),0)/60)&amp;":"&amp;TEXT(MOD(ROUND(IFERROR(TIMEVALUE(IF(LEN(C321)-LEN(SUBSTITUTE(C321,":",""))=2,"","0:")&amp;C321)*86400,"")/VALUE(SUBSTITUTE(B321,"K","")),0),60),"00"),""))</f>
        <v/>
      </c>
      <c r="G321" s="21">
        <f>IF(A321="","",IF(COUNTIF(Atletas!$A$2:$A$302,A321)&gt;0,"Sí","No"))</f>
        <v/>
      </c>
    </row>
    <row r="322">
      <c r="A322" s="17" t="n"/>
      <c r="B322" s="17" t="n"/>
      <c r="C322" s="18" t="n"/>
      <c r="D322" s="19" t="n"/>
      <c r="E322" s="17" t="n"/>
      <c r="F322" s="21">
        <f>IF(OR(B322="",C322=""),"",IFERROR(INT(ROUND(IFERROR(TIMEVALUE(IF(LEN(C322)-LEN(SUBSTITUTE(C322,":",""))=2,"","0:")&amp;C322)*86400,"")/VALUE(SUBSTITUTE(B322,"K","")),0)/60)&amp;":"&amp;TEXT(MOD(ROUND(IFERROR(TIMEVALUE(IF(LEN(C322)-LEN(SUBSTITUTE(C322,":",""))=2,"","0:")&amp;C322)*86400,"")/VALUE(SUBSTITUTE(B322,"K","")),0),60),"00"),""))</f>
        <v/>
      </c>
      <c r="G322" s="21">
        <f>IF(A322="","",IF(COUNTIF(Atletas!$A$2:$A$302,A322)&gt;0,"Sí","No"))</f>
        <v/>
      </c>
    </row>
    <row r="323">
      <c r="A323" s="17" t="n"/>
      <c r="B323" s="17" t="n"/>
      <c r="C323" s="18" t="n"/>
      <c r="D323" s="19" t="n"/>
      <c r="E323" s="17" t="n"/>
      <c r="F323" s="21">
        <f>IF(OR(B323="",C323=""),"",IFERROR(INT(ROUND(IFERROR(TIMEVALUE(IF(LEN(C323)-LEN(SUBSTITUTE(C323,":",""))=2,"","0:")&amp;C323)*86400,"")/VALUE(SUBSTITUTE(B323,"K","")),0)/60)&amp;":"&amp;TEXT(MOD(ROUND(IFERROR(TIMEVALUE(IF(LEN(C323)-LEN(SUBSTITUTE(C323,":",""))=2,"","0:")&amp;C323)*86400,"")/VALUE(SUBSTITUTE(B323,"K","")),0),60),"00"),""))</f>
        <v/>
      </c>
      <c r="G323" s="21">
        <f>IF(A323="","",IF(COUNTIF(Atletas!$A$2:$A$302,A323)&gt;0,"Sí","No"))</f>
        <v/>
      </c>
    </row>
    <row r="324">
      <c r="A324" s="17" t="n"/>
      <c r="B324" s="17" t="n"/>
      <c r="C324" s="18" t="n"/>
      <c r="D324" s="19" t="n"/>
      <c r="E324" s="17" t="n"/>
      <c r="F324" s="21">
        <f>IF(OR(B324="",C324=""),"",IFERROR(INT(ROUND(IFERROR(TIMEVALUE(IF(LEN(C324)-LEN(SUBSTITUTE(C324,":",""))=2,"","0:")&amp;C324)*86400,"")/VALUE(SUBSTITUTE(B324,"K","")),0)/60)&amp;":"&amp;TEXT(MOD(ROUND(IFERROR(TIMEVALUE(IF(LEN(C324)-LEN(SUBSTITUTE(C324,":",""))=2,"","0:")&amp;C324)*86400,"")/VALUE(SUBSTITUTE(B324,"K","")),0),60),"00"),""))</f>
        <v/>
      </c>
      <c r="G324" s="21">
        <f>IF(A324="","",IF(COUNTIF(Atletas!$A$2:$A$302,A324)&gt;0,"Sí","No"))</f>
        <v/>
      </c>
    </row>
    <row r="325">
      <c r="A325" s="17" t="n"/>
      <c r="B325" s="17" t="n"/>
      <c r="C325" s="18" t="n"/>
      <c r="D325" s="19" t="n"/>
      <c r="E325" s="17" t="n"/>
      <c r="F325" s="21">
        <f>IF(OR(B325="",C325=""),"",IFERROR(INT(ROUND(IFERROR(TIMEVALUE(IF(LEN(C325)-LEN(SUBSTITUTE(C325,":",""))=2,"","0:")&amp;C325)*86400,"")/VALUE(SUBSTITUTE(B325,"K","")),0)/60)&amp;":"&amp;TEXT(MOD(ROUND(IFERROR(TIMEVALUE(IF(LEN(C325)-LEN(SUBSTITUTE(C325,":",""))=2,"","0:")&amp;C325)*86400,"")/VALUE(SUBSTITUTE(B325,"K","")),0),60),"00"),""))</f>
        <v/>
      </c>
      <c r="G325" s="21">
        <f>IF(A325="","",IF(COUNTIF(Atletas!$A$2:$A$302,A325)&gt;0,"Sí","No"))</f>
        <v/>
      </c>
    </row>
    <row r="326">
      <c r="A326" s="17" t="n"/>
      <c r="B326" s="17" t="n"/>
      <c r="C326" s="18" t="n"/>
      <c r="D326" s="19" t="n"/>
      <c r="E326" s="17" t="n"/>
      <c r="F326" s="21">
        <f>IF(OR(B326="",C326=""),"",IFERROR(INT(ROUND(IFERROR(TIMEVALUE(IF(LEN(C326)-LEN(SUBSTITUTE(C326,":",""))=2,"","0:")&amp;C326)*86400,"")/VALUE(SUBSTITUTE(B326,"K","")),0)/60)&amp;":"&amp;TEXT(MOD(ROUND(IFERROR(TIMEVALUE(IF(LEN(C326)-LEN(SUBSTITUTE(C326,":",""))=2,"","0:")&amp;C326)*86400,"")/VALUE(SUBSTITUTE(B326,"K","")),0),60),"00"),""))</f>
        <v/>
      </c>
      <c r="G326" s="21">
        <f>IF(A326="","",IF(COUNTIF(Atletas!$A$2:$A$302,A326)&gt;0,"Sí","No"))</f>
        <v/>
      </c>
    </row>
    <row r="327">
      <c r="A327" s="17" t="n"/>
      <c r="B327" s="17" t="n"/>
      <c r="C327" s="18" t="n"/>
      <c r="D327" s="19" t="n"/>
      <c r="E327" s="17" t="n"/>
      <c r="F327" s="21">
        <f>IF(OR(B327="",C327=""),"",IFERROR(INT(ROUND(IFERROR(TIMEVALUE(IF(LEN(C327)-LEN(SUBSTITUTE(C327,":",""))=2,"","0:")&amp;C327)*86400,"")/VALUE(SUBSTITUTE(B327,"K","")),0)/60)&amp;":"&amp;TEXT(MOD(ROUND(IFERROR(TIMEVALUE(IF(LEN(C327)-LEN(SUBSTITUTE(C327,":",""))=2,"","0:")&amp;C327)*86400,"")/VALUE(SUBSTITUTE(B327,"K","")),0),60),"00"),""))</f>
        <v/>
      </c>
      <c r="G327" s="21">
        <f>IF(A327="","",IF(COUNTIF(Atletas!$A$2:$A$302,A327)&gt;0,"Sí","No"))</f>
        <v/>
      </c>
    </row>
    <row r="328">
      <c r="A328" s="17" t="n"/>
      <c r="B328" s="17" t="n"/>
      <c r="C328" s="18" t="n"/>
      <c r="D328" s="19" t="n"/>
      <c r="E328" s="17" t="n"/>
      <c r="F328" s="21">
        <f>IF(OR(B328="",C328=""),"",IFERROR(INT(ROUND(IFERROR(TIMEVALUE(IF(LEN(C328)-LEN(SUBSTITUTE(C328,":",""))=2,"","0:")&amp;C328)*86400,"")/VALUE(SUBSTITUTE(B328,"K","")),0)/60)&amp;":"&amp;TEXT(MOD(ROUND(IFERROR(TIMEVALUE(IF(LEN(C328)-LEN(SUBSTITUTE(C328,":",""))=2,"","0:")&amp;C328)*86400,"")/VALUE(SUBSTITUTE(B328,"K","")),0),60),"00"),""))</f>
        <v/>
      </c>
      <c r="G328" s="21">
        <f>IF(A328="","",IF(COUNTIF(Atletas!$A$2:$A$302,A328)&gt;0,"Sí","No"))</f>
        <v/>
      </c>
    </row>
    <row r="329">
      <c r="A329" s="17" t="n"/>
      <c r="B329" s="17" t="n"/>
      <c r="C329" s="18" t="n"/>
      <c r="D329" s="19" t="n"/>
      <c r="E329" s="17" t="n"/>
      <c r="F329" s="21">
        <f>IF(OR(B329="",C329=""),"",IFERROR(INT(ROUND(IFERROR(TIMEVALUE(IF(LEN(C329)-LEN(SUBSTITUTE(C329,":",""))=2,"","0:")&amp;C329)*86400,"")/VALUE(SUBSTITUTE(B329,"K","")),0)/60)&amp;":"&amp;TEXT(MOD(ROUND(IFERROR(TIMEVALUE(IF(LEN(C329)-LEN(SUBSTITUTE(C329,":",""))=2,"","0:")&amp;C329)*86400,"")/VALUE(SUBSTITUTE(B329,"K","")),0),60),"00"),""))</f>
        <v/>
      </c>
      <c r="G329" s="21">
        <f>IF(A329="","",IF(COUNTIF(Atletas!$A$2:$A$302,A329)&gt;0,"Sí","No"))</f>
        <v/>
      </c>
    </row>
    <row r="330">
      <c r="A330" s="17" t="n"/>
      <c r="B330" s="17" t="n"/>
      <c r="C330" s="18" t="n"/>
      <c r="D330" s="19" t="n"/>
      <c r="E330" s="17" t="n"/>
      <c r="F330" s="21">
        <f>IF(OR(B330="",C330=""),"",IFERROR(INT(ROUND(IFERROR(TIMEVALUE(IF(LEN(C330)-LEN(SUBSTITUTE(C330,":",""))=2,"","0:")&amp;C330)*86400,"")/VALUE(SUBSTITUTE(B330,"K","")),0)/60)&amp;":"&amp;TEXT(MOD(ROUND(IFERROR(TIMEVALUE(IF(LEN(C330)-LEN(SUBSTITUTE(C330,":",""))=2,"","0:")&amp;C330)*86400,"")/VALUE(SUBSTITUTE(B330,"K","")),0),60),"00"),""))</f>
        <v/>
      </c>
      <c r="G330" s="21">
        <f>IF(A330="","",IF(COUNTIF(Atletas!$A$2:$A$302,A330)&gt;0,"Sí","No"))</f>
        <v/>
      </c>
    </row>
    <row r="331">
      <c r="A331" s="17" t="n"/>
      <c r="B331" s="17" t="n"/>
      <c r="C331" s="18" t="n"/>
      <c r="D331" s="19" t="n"/>
      <c r="E331" s="17" t="n"/>
      <c r="F331" s="21">
        <f>IF(OR(B331="",C331=""),"",IFERROR(INT(ROUND(IFERROR(TIMEVALUE(IF(LEN(C331)-LEN(SUBSTITUTE(C331,":",""))=2,"","0:")&amp;C331)*86400,"")/VALUE(SUBSTITUTE(B331,"K","")),0)/60)&amp;":"&amp;TEXT(MOD(ROUND(IFERROR(TIMEVALUE(IF(LEN(C331)-LEN(SUBSTITUTE(C331,":",""))=2,"","0:")&amp;C331)*86400,"")/VALUE(SUBSTITUTE(B331,"K","")),0),60),"00"),""))</f>
        <v/>
      </c>
      <c r="G331" s="21">
        <f>IF(A331="","",IF(COUNTIF(Atletas!$A$2:$A$302,A331)&gt;0,"Sí","No"))</f>
        <v/>
      </c>
    </row>
    <row r="332">
      <c r="A332" s="17" t="n"/>
      <c r="B332" s="17" t="n"/>
      <c r="C332" s="18" t="n"/>
      <c r="D332" s="19" t="n"/>
      <c r="E332" s="17" t="n"/>
      <c r="F332" s="21">
        <f>IF(OR(B332="",C332=""),"",IFERROR(INT(ROUND(IFERROR(TIMEVALUE(IF(LEN(C332)-LEN(SUBSTITUTE(C332,":",""))=2,"","0:")&amp;C332)*86400,"")/VALUE(SUBSTITUTE(B332,"K","")),0)/60)&amp;":"&amp;TEXT(MOD(ROUND(IFERROR(TIMEVALUE(IF(LEN(C332)-LEN(SUBSTITUTE(C332,":",""))=2,"","0:")&amp;C332)*86400,"")/VALUE(SUBSTITUTE(B332,"K","")),0),60),"00"),""))</f>
        <v/>
      </c>
      <c r="G332" s="21">
        <f>IF(A332="","",IF(COUNTIF(Atletas!$A$2:$A$302,A332)&gt;0,"Sí","No"))</f>
        <v/>
      </c>
    </row>
    <row r="333">
      <c r="A333" s="17" t="n"/>
      <c r="B333" s="17" t="n"/>
      <c r="C333" s="18" t="n"/>
      <c r="D333" s="19" t="n"/>
      <c r="E333" s="17" t="n"/>
      <c r="F333" s="21">
        <f>IF(OR(B333="",C333=""),"",IFERROR(INT(ROUND(IFERROR(TIMEVALUE(IF(LEN(C333)-LEN(SUBSTITUTE(C333,":",""))=2,"","0:")&amp;C333)*86400,"")/VALUE(SUBSTITUTE(B333,"K","")),0)/60)&amp;":"&amp;TEXT(MOD(ROUND(IFERROR(TIMEVALUE(IF(LEN(C333)-LEN(SUBSTITUTE(C333,":",""))=2,"","0:")&amp;C333)*86400,"")/VALUE(SUBSTITUTE(B333,"K","")),0),60),"00"),""))</f>
        <v/>
      </c>
      <c r="G333" s="21">
        <f>IF(A333="","",IF(COUNTIF(Atletas!$A$2:$A$302,A333)&gt;0,"Sí","No"))</f>
        <v/>
      </c>
    </row>
    <row r="334">
      <c r="A334" s="17" t="n"/>
      <c r="B334" s="17" t="n"/>
      <c r="C334" s="18" t="n"/>
      <c r="D334" s="19" t="n"/>
      <c r="E334" s="17" t="n"/>
      <c r="F334" s="21">
        <f>IF(OR(B334="",C334=""),"",IFERROR(INT(ROUND(IFERROR(TIMEVALUE(IF(LEN(C334)-LEN(SUBSTITUTE(C334,":",""))=2,"","0:")&amp;C334)*86400,"")/VALUE(SUBSTITUTE(B334,"K","")),0)/60)&amp;":"&amp;TEXT(MOD(ROUND(IFERROR(TIMEVALUE(IF(LEN(C334)-LEN(SUBSTITUTE(C334,":",""))=2,"","0:")&amp;C334)*86400,"")/VALUE(SUBSTITUTE(B334,"K","")),0),60),"00"),""))</f>
        <v/>
      </c>
      <c r="G334" s="21">
        <f>IF(A334="","",IF(COUNTIF(Atletas!$A$2:$A$302,A334)&gt;0,"Sí","No"))</f>
        <v/>
      </c>
    </row>
    <row r="335">
      <c r="A335" s="17" t="n"/>
      <c r="B335" s="17" t="n"/>
      <c r="C335" s="18" t="n"/>
      <c r="D335" s="19" t="n"/>
      <c r="E335" s="17" t="n"/>
      <c r="F335" s="21">
        <f>IF(OR(B335="",C335=""),"",IFERROR(INT(ROUND(IFERROR(TIMEVALUE(IF(LEN(C335)-LEN(SUBSTITUTE(C335,":",""))=2,"","0:")&amp;C335)*86400,"")/VALUE(SUBSTITUTE(B335,"K","")),0)/60)&amp;":"&amp;TEXT(MOD(ROUND(IFERROR(TIMEVALUE(IF(LEN(C335)-LEN(SUBSTITUTE(C335,":",""))=2,"","0:")&amp;C335)*86400,"")/VALUE(SUBSTITUTE(B335,"K","")),0),60),"00"),""))</f>
        <v/>
      </c>
      <c r="G335" s="21">
        <f>IF(A335="","",IF(COUNTIF(Atletas!$A$2:$A$302,A335)&gt;0,"Sí","No"))</f>
        <v/>
      </c>
    </row>
    <row r="336">
      <c r="A336" s="17" t="n"/>
      <c r="B336" s="17" t="n"/>
      <c r="C336" s="18" t="n"/>
      <c r="D336" s="19" t="n"/>
      <c r="E336" s="17" t="n"/>
      <c r="F336" s="21">
        <f>IF(OR(B336="",C336=""),"",IFERROR(INT(ROUND(IFERROR(TIMEVALUE(IF(LEN(C336)-LEN(SUBSTITUTE(C336,":",""))=2,"","0:")&amp;C336)*86400,"")/VALUE(SUBSTITUTE(B336,"K","")),0)/60)&amp;":"&amp;TEXT(MOD(ROUND(IFERROR(TIMEVALUE(IF(LEN(C336)-LEN(SUBSTITUTE(C336,":",""))=2,"","0:")&amp;C336)*86400,"")/VALUE(SUBSTITUTE(B336,"K","")),0),60),"00"),""))</f>
        <v/>
      </c>
      <c r="G336" s="21">
        <f>IF(A336="","",IF(COUNTIF(Atletas!$A$2:$A$302,A336)&gt;0,"Sí","No"))</f>
        <v/>
      </c>
    </row>
    <row r="337">
      <c r="A337" s="17" t="n"/>
      <c r="B337" s="17" t="n"/>
      <c r="C337" s="18" t="n"/>
      <c r="D337" s="19" t="n"/>
      <c r="E337" s="17" t="n"/>
      <c r="F337" s="21">
        <f>IF(OR(B337="",C337=""),"",IFERROR(INT(ROUND(IFERROR(TIMEVALUE(IF(LEN(C337)-LEN(SUBSTITUTE(C337,":",""))=2,"","0:")&amp;C337)*86400,"")/VALUE(SUBSTITUTE(B337,"K","")),0)/60)&amp;":"&amp;TEXT(MOD(ROUND(IFERROR(TIMEVALUE(IF(LEN(C337)-LEN(SUBSTITUTE(C337,":",""))=2,"","0:")&amp;C337)*86400,"")/VALUE(SUBSTITUTE(B337,"K","")),0),60),"00"),""))</f>
        <v/>
      </c>
      <c r="G337" s="21">
        <f>IF(A337="","",IF(COUNTIF(Atletas!$A$2:$A$302,A337)&gt;0,"Sí","No"))</f>
        <v/>
      </c>
    </row>
    <row r="338">
      <c r="A338" s="17" t="n"/>
      <c r="B338" s="17" t="n"/>
      <c r="C338" s="18" t="n"/>
      <c r="D338" s="19" t="n"/>
      <c r="E338" s="17" t="n"/>
      <c r="F338" s="21">
        <f>IF(OR(B338="",C338=""),"",IFERROR(INT(ROUND(IFERROR(TIMEVALUE(IF(LEN(C338)-LEN(SUBSTITUTE(C338,":",""))=2,"","0:")&amp;C338)*86400,"")/VALUE(SUBSTITUTE(B338,"K","")),0)/60)&amp;":"&amp;TEXT(MOD(ROUND(IFERROR(TIMEVALUE(IF(LEN(C338)-LEN(SUBSTITUTE(C338,":",""))=2,"","0:")&amp;C338)*86400,"")/VALUE(SUBSTITUTE(B338,"K","")),0),60),"00"),""))</f>
        <v/>
      </c>
      <c r="G338" s="21">
        <f>IF(A338="","",IF(COUNTIF(Atletas!$A$2:$A$302,A338)&gt;0,"Sí","No"))</f>
        <v/>
      </c>
    </row>
    <row r="339">
      <c r="A339" s="17" t="n"/>
      <c r="B339" s="17" t="n"/>
      <c r="C339" s="18" t="n"/>
      <c r="D339" s="19" t="n"/>
      <c r="E339" s="17" t="n"/>
      <c r="F339" s="21">
        <f>IF(OR(B339="",C339=""),"",IFERROR(INT(ROUND(IFERROR(TIMEVALUE(IF(LEN(C339)-LEN(SUBSTITUTE(C339,":",""))=2,"","0:")&amp;C339)*86400,"")/VALUE(SUBSTITUTE(B339,"K","")),0)/60)&amp;":"&amp;TEXT(MOD(ROUND(IFERROR(TIMEVALUE(IF(LEN(C339)-LEN(SUBSTITUTE(C339,":",""))=2,"","0:")&amp;C339)*86400,"")/VALUE(SUBSTITUTE(B339,"K","")),0),60),"00"),""))</f>
        <v/>
      </c>
      <c r="G339" s="21">
        <f>IF(A339="","",IF(COUNTIF(Atletas!$A$2:$A$302,A339)&gt;0,"Sí","No"))</f>
        <v/>
      </c>
    </row>
    <row r="340">
      <c r="A340" s="17" t="n"/>
      <c r="B340" s="17" t="n"/>
      <c r="C340" s="18" t="n"/>
      <c r="D340" s="19" t="n"/>
      <c r="E340" s="17" t="n"/>
      <c r="F340" s="21">
        <f>IF(OR(B340="",C340=""),"",IFERROR(INT(ROUND(IFERROR(TIMEVALUE(IF(LEN(C340)-LEN(SUBSTITUTE(C340,":",""))=2,"","0:")&amp;C340)*86400,"")/VALUE(SUBSTITUTE(B340,"K","")),0)/60)&amp;":"&amp;TEXT(MOD(ROUND(IFERROR(TIMEVALUE(IF(LEN(C340)-LEN(SUBSTITUTE(C340,":",""))=2,"","0:")&amp;C340)*86400,"")/VALUE(SUBSTITUTE(B340,"K","")),0),60),"00"),""))</f>
        <v/>
      </c>
      <c r="G340" s="21">
        <f>IF(A340="","",IF(COUNTIF(Atletas!$A$2:$A$302,A340)&gt;0,"Sí","No"))</f>
        <v/>
      </c>
    </row>
    <row r="341">
      <c r="A341" s="17" t="n"/>
      <c r="B341" s="17" t="n"/>
      <c r="C341" s="18" t="n"/>
      <c r="D341" s="19" t="n"/>
      <c r="E341" s="17" t="n"/>
      <c r="F341" s="21">
        <f>IF(OR(B341="",C341=""),"",IFERROR(INT(ROUND(IFERROR(TIMEVALUE(IF(LEN(C341)-LEN(SUBSTITUTE(C341,":",""))=2,"","0:")&amp;C341)*86400,"")/VALUE(SUBSTITUTE(B341,"K","")),0)/60)&amp;":"&amp;TEXT(MOD(ROUND(IFERROR(TIMEVALUE(IF(LEN(C341)-LEN(SUBSTITUTE(C341,":",""))=2,"","0:")&amp;C341)*86400,"")/VALUE(SUBSTITUTE(B341,"K","")),0),60),"00"),""))</f>
        <v/>
      </c>
      <c r="G341" s="21">
        <f>IF(A341="","",IF(COUNTIF(Atletas!$A$2:$A$302,A341)&gt;0,"Sí","No"))</f>
        <v/>
      </c>
    </row>
    <row r="342">
      <c r="A342" s="17" t="n"/>
      <c r="B342" s="17" t="n"/>
      <c r="C342" s="18" t="n"/>
      <c r="D342" s="19" t="n"/>
      <c r="E342" s="17" t="n"/>
      <c r="F342" s="21">
        <f>IF(OR(B342="",C342=""),"",IFERROR(INT(ROUND(IFERROR(TIMEVALUE(IF(LEN(C342)-LEN(SUBSTITUTE(C342,":",""))=2,"","0:")&amp;C342)*86400,"")/VALUE(SUBSTITUTE(B342,"K","")),0)/60)&amp;":"&amp;TEXT(MOD(ROUND(IFERROR(TIMEVALUE(IF(LEN(C342)-LEN(SUBSTITUTE(C342,":",""))=2,"","0:")&amp;C342)*86400,"")/VALUE(SUBSTITUTE(B342,"K","")),0),60),"00"),""))</f>
        <v/>
      </c>
      <c r="G342" s="21">
        <f>IF(A342="","",IF(COUNTIF(Atletas!$A$2:$A$302,A342)&gt;0,"Sí","No"))</f>
        <v/>
      </c>
    </row>
    <row r="343">
      <c r="A343" s="17" t="n"/>
      <c r="B343" s="17" t="n"/>
      <c r="C343" s="18" t="n"/>
      <c r="D343" s="19" t="n"/>
      <c r="E343" s="17" t="n"/>
      <c r="F343" s="21">
        <f>IF(OR(B343="",C343=""),"",IFERROR(INT(ROUND(IFERROR(TIMEVALUE(IF(LEN(C343)-LEN(SUBSTITUTE(C343,":",""))=2,"","0:")&amp;C343)*86400,"")/VALUE(SUBSTITUTE(B343,"K","")),0)/60)&amp;":"&amp;TEXT(MOD(ROUND(IFERROR(TIMEVALUE(IF(LEN(C343)-LEN(SUBSTITUTE(C343,":",""))=2,"","0:")&amp;C343)*86400,"")/VALUE(SUBSTITUTE(B343,"K","")),0),60),"00"),""))</f>
        <v/>
      </c>
      <c r="G343" s="21">
        <f>IF(A343="","",IF(COUNTIF(Atletas!$A$2:$A$302,A343)&gt;0,"Sí","No"))</f>
        <v/>
      </c>
    </row>
    <row r="344">
      <c r="A344" s="17" t="n"/>
      <c r="B344" s="17" t="n"/>
      <c r="C344" s="18" t="n"/>
      <c r="D344" s="19" t="n"/>
      <c r="E344" s="17" t="n"/>
      <c r="F344" s="21">
        <f>IF(OR(B344="",C344=""),"",IFERROR(INT(ROUND(IFERROR(TIMEVALUE(IF(LEN(C344)-LEN(SUBSTITUTE(C344,":",""))=2,"","0:")&amp;C344)*86400,"")/VALUE(SUBSTITUTE(B344,"K","")),0)/60)&amp;":"&amp;TEXT(MOD(ROUND(IFERROR(TIMEVALUE(IF(LEN(C344)-LEN(SUBSTITUTE(C344,":",""))=2,"","0:")&amp;C344)*86400,"")/VALUE(SUBSTITUTE(B344,"K","")),0),60),"00"),""))</f>
        <v/>
      </c>
      <c r="G344" s="21">
        <f>IF(A344="","",IF(COUNTIF(Atletas!$A$2:$A$302,A344)&gt;0,"Sí","No"))</f>
        <v/>
      </c>
    </row>
    <row r="345">
      <c r="A345" s="17" t="n"/>
      <c r="B345" s="17" t="n"/>
      <c r="C345" s="18" t="n"/>
      <c r="D345" s="19" t="n"/>
      <c r="E345" s="17" t="n"/>
      <c r="F345" s="21">
        <f>IF(OR(B345="",C345=""),"",IFERROR(INT(ROUND(IFERROR(TIMEVALUE(IF(LEN(C345)-LEN(SUBSTITUTE(C345,":",""))=2,"","0:")&amp;C345)*86400,"")/VALUE(SUBSTITUTE(B345,"K","")),0)/60)&amp;":"&amp;TEXT(MOD(ROUND(IFERROR(TIMEVALUE(IF(LEN(C345)-LEN(SUBSTITUTE(C345,":",""))=2,"","0:")&amp;C345)*86400,"")/VALUE(SUBSTITUTE(B345,"K","")),0),60),"00"),""))</f>
        <v/>
      </c>
      <c r="G345" s="21">
        <f>IF(A345="","",IF(COUNTIF(Atletas!$A$2:$A$302,A345)&gt;0,"Sí","No"))</f>
        <v/>
      </c>
    </row>
    <row r="346">
      <c r="A346" s="17" t="n"/>
      <c r="B346" s="17" t="n"/>
      <c r="C346" s="18" t="n"/>
      <c r="D346" s="19" t="n"/>
      <c r="E346" s="17" t="n"/>
      <c r="F346" s="21">
        <f>IF(OR(B346="",C346=""),"",IFERROR(INT(ROUND(IFERROR(TIMEVALUE(IF(LEN(C346)-LEN(SUBSTITUTE(C346,":",""))=2,"","0:")&amp;C346)*86400,"")/VALUE(SUBSTITUTE(B346,"K","")),0)/60)&amp;":"&amp;TEXT(MOD(ROUND(IFERROR(TIMEVALUE(IF(LEN(C346)-LEN(SUBSTITUTE(C346,":",""))=2,"","0:")&amp;C346)*86400,"")/VALUE(SUBSTITUTE(B346,"K","")),0),60),"00"),""))</f>
        <v/>
      </c>
      <c r="G346" s="21">
        <f>IF(A346="","",IF(COUNTIF(Atletas!$A$2:$A$302,A346)&gt;0,"Sí","No"))</f>
        <v/>
      </c>
    </row>
    <row r="347">
      <c r="A347" s="17" t="n"/>
      <c r="B347" s="17" t="n"/>
      <c r="C347" s="18" t="n"/>
      <c r="D347" s="19" t="n"/>
      <c r="E347" s="17" t="n"/>
      <c r="F347" s="21">
        <f>IF(OR(B347="",C347=""),"",IFERROR(INT(ROUND(IFERROR(TIMEVALUE(IF(LEN(C347)-LEN(SUBSTITUTE(C347,":",""))=2,"","0:")&amp;C347)*86400,"")/VALUE(SUBSTITUTE(B347,"K","")),0)/60)&amp;":"&amp;TEXT(MOD(ROUND(IFERROR(TIMEVALUE(IF(LEN(C347)-LEN(SUBSTITUTE(C347,":",""))=2,"","0:")&amp;C347)*86400,"")/VALUE(SUBSTITUTE(B347,"K","")),0),60),"00"),""))</f>
        <v/>
      </c>
      <c r="G347" s="21">
        <f>IF(A347="","",IF(COUNTIF(Atletas!$A$2:$A$302,A347)&gt;0,"Sí","No"))</f>
        <v/>
      </c>
    </row>
    <row r="348">
      <c r="A348" s="17" t="n"/>
      <c r="B348" s="17" t="n"/>
      <c r="C348" s="18" t="n"/>
      <c r="D348" s="19" t="n"/>
      <c r="E348" s="17" t="n"/>
      <c r="F348" s="21">
        <f>IF(OR(B348="",C348=""),"",IFERROR(INT(ROUND(IFERROR(TIMEVALUE(IF(LEN(C348)-LEN(SUBSTITUTE(C348,":",""))=2,"","0:")&amp;C348)*86400,"")/VALUE(SUBSTITUTE(B348,"K","")),0)/60)&amp;":"&amp;TEXT(MOD(ROUND(IFERROR(TIMEVALUE(IF(LEN(C348)-LEN(SUBSTITUTE(C348,":",""))=2,"","0:")&amp;C348)*86400,"")/VALUE(SUBSTITUTE(B348,"K","")),0),60),"00"),""))</f>
        <v/>
      </c>
      <c r="G348" s="21">
        <f>IF(A348="","",IF(COUNTIF(Atletas!$A$2:$A$302,A348)&gt;0,"Sí","No"))</f>
        <v/>
      </c>
    </row>
    <row r="349">
      <c r="A349" s="17" t="n"/>
      <c r="B349" s="17" t="n"/>
      <c r="C349" s="18" t="n"/>
      <c r="D349" s="19" t="n"/>
      <c r="E349" s="17" t="n"/>
      <c r="F349" s="21">
        <f>IF(OR(B349="",C349=""),"",IFERROR(INT(ROUND(IFERROR(TIMEVALUE(IF(LEN(C349)-LEN(SUBSTITUTE(C349,":",""))=2,"","0:")&amp;C349)*86400,"")/VALUE(SUBSTITUTE(B349,"K","")),0)/60)&amp;":"&amp;TEXT(MOD(ROUND(IFERROR(TIMEVALUE(IF(LEN(C349)-LEN(SUBSTITUTE(C349,":",""))=2,"","0:")&amp;C349)*86400,"")/VALUE(SUBSTITUTE(B349,"K","")),0),60),"00"),""))</f>
        <v/>
      </c>
      <c r="G349" s="21">
        <f>IF(A349="","",IF(COUNTIF(Atletas!$A$2:$A$302,A349)&gt;0,"Sí","No"))</f>
        <v/>
      </c>
    </row>
    <row r="350">
      <c r="A350" s="17" t="n"/>
      <c r="B350" s="17" t="n"/>
      <c r="C350" s="18" t="n"/>
      <c r="D350" s="19" t="n"/>
      <c r="E350" s="17" t="n"/>
      <c r="F350" s="21">
        <f>IF(OR(B350="",C350=""),"",IFERROR(INT(ROUND(IFERROR(TIMEVALUE(IF(LEN(C350)-LEN(SUBSTITUTE(C350,":",""))=2,"","0:")&amp;C350)*86400,"")/VALUE(SUBSTITUTE(B350,"K","")),0)/60)&amp;":"&amp;TEXT(MOD(ROUND(IFERROR(TIMEVALUE(IF(LEN(C350)-LEN(SUBSTITUTE(C350,":",""))=2,"","0:")&amp;C350)*86400,"")/VALUE(SUBSTITUTE(B350,"K","")),0),60),"00"),""))</f>
        <v/>
      </c>
      <c r="G350" s="21">
        <f>IF(A350="","",IF(COUNTIF(Atletas!$A$2:$A$302,A350)&gt;0,"Sí","No"))</f>
        <v/>
      </c>
    </row>
    <row r="351">
      <c r="A351" s="17" t="n"/>
      <c r="B351" s="17" t="n"/>
      <c r="C351" s="18" t="n"/>
      <c r="D351" s="19" t="n"/>
      <c r="E351" s="17" t="n"/>
      <c r="F351" s="21">
        <f>IF(OR(B351="",C351=""),"",IFERROR(INT(ROUND(IFERROR(TIMEVALUE(IF(LEN(C351)-LEN(SUBSTITUTE(C351,":",""))=2,"","0:")&amp;C351)*86400,"")/VALUE(SUBSTITUTE(B351,"K","")),0)/60)&amp;":"&amp;TEXT(MOD(ROUND(IFERROR(TIMEVALUE(IF(LEN(C351)-LEN(SUBSTITUTE(C351,":",""))=2,"","0:")&amp;C351)*86400,"")/VALUE(SUBSTITUTE(B351,"K","")),0),60),"00"),""))</f>
        <v/>
      </c>
      <c r="G351" s="21">
        <f>IF(A351="","",IF(COUNTIF(Atletas!$A$2:$A$302,A351)&gt;0,"Sí","No"))</f>
        <v/>
      </c>
    </row>
    <row r="352">
      <c r="A352" s="17" t="n"/>
      <c r="B352" s="17" t="n"/>
      <c r="C352" s="18" t="n"/>
      <c r="D352" s="19" t="n"/>
      <c r="E352" s="17" t="n"/>
      <c r="F352" s="21">
        <f>IF(OR(B352="",C352=""),"",IFERROR(INT(ROUND(IFERROR(TIMEVALUE(IF(LEN(C352)-LEN(SUBSTITUTE(C352,":",""))=2,"","0:")&amp;C352)*86400,"")/VALUE(SUBSTITUTE(B352,"K","")),0)/60)&amp;":"&amp;TEXT(MOD(ROUND(IFERROR(TIMEVALUE(IF(LEN(C352)-LEN(SUBSTITUTE(C352,":",""))=2,"","0:")&amp;C352)*86400,"")/VALUE(SUBSTITUTE(B352,"K","")),0),60),"00"),""))</f>
        <v/>
      </c>
      <c r="G352" s="21">
        <f>IF(A352="","",IF(COUNTIF(Atletas!$A$2:$A$302,A352)&gt;0,"Sí","No"))</f>
        <v/>
      </c>
    </row>
    <row r="353">
      <c r="A353" s="17" t="n"/>
      <c r="B353" s="17" t="n"/>
      <c r="C353" s="18" t="n"/>
      <c r="D353" s="19" t="n"/>
      <c r="E353" s="17" t="n"/>
      <c r="F353" s="21">
        <f>IF(OR(B353="",C353=""),"",IFERROR(INT(ROUND(IFERROR(TIMEVALUE(IF(LEN(C353)-LEN(SUBSTITUTE(C353,":",""))=2,"","0:")&amp;C353)*86400,"")/VALUE(SUBSTITUTE(B353,"K","")),0)/60)&amp;":"&amp;TEXT(MOD(ROUND(IFERROR(TIMEVALUE(IF(LEN(C353)-LEN(SUBSTITUTE(C353,":",""))=2,"","0:")&amp;C353)*86400,"")/VALUE(SUBSTITUTE(B353,"K","")),0),60),"00"),""))</f>
        <v/>
      </c>
      <c r="G353" s="21">
        <f>IF(A353="","",IF(COUNTIF(Atletas!$A$2:$A$302,A353)&gt;0,"Sí","No"))</f>
        <v/>
      </c>
    </row>
    <row r="354">
      <c r="A354" s="17" t="n"/>
      <c r="B354" s="17" t="n"/>
      <c r="C354" s="18" t="n"/>
      <c r="D354" s="19" t="n"/>
      <c r="E354" s="17" t="n"/>
      <c r="F354" s="21">
        <f>IF(OR(B354="",C354=""),"",IFERROR(INT(ROUND(IFERROR(TIMEVALUE(IF(LEN(C354)-LEN(SUBSTITUTE(C354,":",""))=2,"","0:")&amp;C354)*86400,"")/VALUE(SUBSTITUTE(B354,"K","")),0)/60)&amp;":"&amp;TEXT(MOD(ROUND(IFERROR(TIMEVALUE(IF(LEN(C354)-LEN(SUBSTITUTE(C354,":",""))=2,"","0:")&amp;C354)*86400,"")/VALUE(SUBSTITUTE(B354,"K","")),0),60),"00"),""))</f>
        <v/>
      </c>
      <c r="G354" s="21">
        <f>IF(A354="","",IF(COUNTIF(Atletas!$A$2:$A$302,A354)&gt;0,"Sí","No"))</f>
        <v/>
      </c>
    </row>
    <row r="355">
      <c r="A355" s="17" t="n"/>
      <c r="B355" s="17" t="n"/>
      <c r="C355" s="18" t="n"/>
      <c r="D355" s="19" t="n"/>
      <c r="E355" s="17" t="n"/>
      <c r="F355" s="21">
        <f>IF(OR(B355="",C355=""),"",IFERROR(INT(ROUND(IFERROR(TIMEVALUE(IF(LEN(C355)-LEN(SUBSTITUTE(C355,":",""))=2,"","0:")&amp;C355)*86400,"")/VALUE(SUBSTITUTE(B355,"K","")),0)/60)&amp;":"&amp;TEXT(MOD(ROUND(IFERROR(TIMEVALUE(IF(LEN(C355)-LEN(SUBSTITUTE(C355,":",""))=2,"","0:")&amp;C355)*86400,"")/VALUE(SUBSTITUTE(B355,"K","")),0),60),"00"),""))</f>
        <v/>
      </c>
      <c r="G355" s="21">
        <f>IF(A355="","",IF(COUNTIF(Atletas!$A$2:$A$302,A355)&gt;0,"Sí","No"))</f>
        <v/>
      </c>
    </row>
    <row r="356">
      <c r="A356" s="17" t="n"/>
      <c r="B356" s="17" t="n"/>
      <c r="C356" s="18" t="n"/>
      <c r="D356" s="19" t="n"/>
      <c r="E356" s="17" t="n"/>
      <c r="F356" s="21">
        <f>IF(OR(B356="",C356=""),"",IFERROR(INT(ROUND(IFERROR(TIMEVALUE(IF(LEN(C356)-LEN(SUBSTITUTE(C356,":",""))=2,"","0:")&amp;C356)*86400,"")/VALUE(SUBSTITUTE(B356,"K","")),0)/60)&amp;":"&amp;TEXT(MOD(ROUND(IFERROR(TIMEVALUE(IF(LEN(C356)-LEN(SUBSTITUTE(C356,":",""))=2,"","0:")&amp;C356)*86400,"")/VALUE(SUBSTITUTE(B356,"K","")),0),60),"00"),""))</f>
        <v/>
      </c>
      <c r="G356" s="21">
        <f>IF(A356="","",IF(COUNTIF(Atletas!$A$2:$A$302,A356)&gt;0,"Sí","No"))</f>
        <v/>
      </c>
    </row>
    <row r="357">
      <c r="A357" s="17" t="n"/>
      <c r="B357" s="17" t="n"/>
      <c r="C357" s="18" t="n"/>
      <c r="D357" s="19" t="n"/>
      <c r="E357" s="17" t="n"/>
      <c r="F357" s="21">
        <f>IF(OR(B357="",C357=""),"",IFERROR(INT(ROUND(IFERROR(TIMEVALUE(IF(LEN(C357)-LEN(SUBSTITUTE(C357,":",""))=2,"","0:")&amp;C357)*86400,"")/VALUE(SUBSTITUTE(B357,"K","")),0)/60)&amp;":"&amp;TEXT(MOD(ROUND(IFERROR(TIMEVALUE(IF(LEN(C357)-LEN(SUBSTITUTE(C357,":",""))=2,"","0:")&amp;C357)*86400,"")/VALUE(SUBSTITUTE(B357,"K","")),0),60),"00"),""))</f>
        <v/>
      </c>
      <c r="G357" s="21">
        <f>IF(A357="","",IF(COUNTIF(Atletas!$A$2:$A$302,A357)&gt;0,"Sí","No"))</f>
        <v/>
      </c>
    </row>
    <row r="358">
      <c r="A358" s="17" t="n"/>
      <c r="B358" s="17" t="n"/>
      <c r="C358" s="18" t="n"/>
      <c r="D358" s="19" t="n"/>
      <c r="E358" s="17" t="n"/>
      <c r="F358" s="21">
        <f>IF(OR(B358="",C358=""),"",IFERROR(INT(ROUND(IFERROR(TIMEVALUE(IF(LEN(C358)-LEN(SUBSTITUTE(C358,":",""))=2,"","0:")&amp;C358)*86400,"")/VALUE(SUBSTITUTE(B358,"K","")),0)/60)&amp;":"&amp;TEXT(MOD(ROUND(IFERROR(TIMEVALUE(IF(LEN(C358)-LEN(SUBSTITUTE(C358,":",""))=2,"","0:")&amp;C358)*86400,"")/VALUE(SUBSTITUTE(B358,"K","")),0),60),"00"),""))</f>
        <v/>
      </c>
      <c r="G358" s="21">
        <f>IF(A358="","",IF(COUNTIF(Atletas!$A$2:$A$302,A358)&gt;0,"Sí","No"))</f>
        <v/>
      </c>
    </row>
    <row r="359">
      <c r="A359" s="17" t="n"/>
      <c r="B359" s="17" t="n"/>
      <c r="C359" s="18" t="n"/>
      <c r="D359" s="19" t="n"/>
      <c r="E359" s="17" t="n"/>
      <c r="F359" s="21">
        <f>IF(OR(B359="",C359=""),"",IFERROR(INT(ROUND(IFERROR(TIMEVALUE(IF(LEN(C359)-LEN(SUBSTITUTE(C359,":",""))=2,"","0:")&amp;C359)*86400,"")/VALUE(SUBSTITUTE(B359,"K","")),0)/60)&amp;":"&amp;TEXT(MOD(ROUND(IFERROR(TIMEVALUE(IF(LEN(C359)-LEN(SUBSTITUTE(C359,":",""))=2,"","0:")&amp;C359)*86400,"")/VALUE(SUBSTITUTE(B359,"K","")),0),60),"00"),""))</f>
        <v/>
      </c>
      <c r="G359" s="21">
        <f>IF(A359="","",IF(COUNTIF(Atletas!$A$2:$A$302,A359)&gt;0,"Sí","No"))</f>
        <v/>
      </c>
    </row>
    <row r="360">
      <c r="A360" s="17" t="n"/>
      <c r="B360" s="17" t="n"/>
      <c r="C360" s="18" t="n"/>
      <c r="D360" s="19" t="n"/>
      <c r="E360" s="17" t="n"/>
      <c r="F360" s="21">
        <f>IF(OR(B360="",C360=""),"",IFERROR(INT(ROUND(IFERROR(TIMEVALUE(IF(LEN(C360)-LEN(SUBSTITUTE(C360,":",""))=2,"","0:")&amp;C360)*86400,"")/VALUE(SUBSTITUTE(B360,"K","")),0)/60)&amp;":"&amp;TEXT(MOD(ROUND(IFERROR(TIMEVALUE(IF(LEN(C360)-LEN(SUBSTITUTE(C360,":",""))=2,"","0:")&amp;C360)*86400,"")/VALUE(SUBSTITUTE(B360,"K","")),0),60),"00"),""))</f>
        <v/>
      </c>
      <c r="G360" s="21">
        <f>IF(A360="","",IF(COUNTIF(Atletas!$A$2:$A$302,A360)&gt;0,"Sí","No"))</f>
        <v/>
      </c>
    </row>
    <row r="361">
      <c r="A361" s="17" t="n"/>
      <c r="B361" s="17" t="n"/>
      <c r="C361" s="18" t="n"/>
      <c r="D361" s="19" t="n"/>
      <c r="E361" s="17" t="n"/>
      <c r="F361" s="21">
        <f>IF(OR(B361="",C361=""),"",IFERROR(INT(ROUND(IFERROR(TIMEVALUE(IF(LEN(C361)-LEN(SUBSTITUTE(C361,":",""))=2,"","0:")&amp;C361)*86400,"")/VALUE(SUBSTITUTE(B361,"K","")),0)/60)&amp;":"&amp;TEXT(MOD(ROUND(IFERROR(TIMEVALUE(IF(LEN(C361)-LEN(SUBSTITUTE(C361,":",""))=2,"","0:")&amp;C361)*86400,"")/VALUE(SUBSTITUTE(B361,"K","")),0),60),"00"),""))</f>
        <v/>
      </c>
      <c r="G361" s="21">
        <f>IF(A361="","",IF(COUNTIF(Atletas!$A$2:$A$302,A361)&gt;0,"Sí","No"))</f>
        <v/>
      </c>
    </row>
    <row r="362">
      <c r="A362" s="17" t="n"/>
      <c r="B362" s="17" t="n"/>
      <c r="C362" s="18" t="n"/>
      <c r="D362" s="19" t="n"/>
      <c r="E362" s="17" t="n"/>
      <c r="F362" s="21">
        <f>IF(OR(B362="",C362=""),"",IFERROR(INT(ROUND(IFERROR(TIMEVALUE(IF(LEN(C362)-LEN(SUBSTITUTE(C362,":",""))=2,"","0:")&amp;C362)*86400,"")/VALUE(SUBSTITUTE(B362,"K","")),0)/60)&amp;":"&amp;TEXT(MOD(ROUND(IFERROR(TIMEVALUE(IF(LEN(C362)-LEN(SUBSTITUTE(C362,":",""))=2,"","0:")&amp;C362)*86400,"")/VALUE(SUBSTITUTE(B362,"K","")),0),60),"00"),""))</f>
        <v/>
      </c>
      <c r="G362" s="21">
        <f>IF(A362="","",IF(COUNTIF(Atletas!$A$2:$A$302,A362)&gt;0,"Sí","No"))</f>
        <v/>
      </c>
    </row>
    <row r="363">
      <c r="A363" s="17" t="n"/>
      <c r="B363" s="17" t="n"/>
      <c r="C363" s="18" t="n"/>
      <c r="D363" s="19" t="n"/>
      <c r="E363" s="17" t="n"/>
      <c r="F363" s="21">
        <f>IF(OR(B363="",C363=""),"",IFERROR(INT(ROUND(IFERROR(TIMEVALUE(IF(LEN(C363)-LEN(SUBSTITUTE(C363,":",""))=2,"","0:")&amp;C363)*86400,"")/VALUE(SUBSTITUTE(B363,"K","")),0)/60)&amp;":"&amp;TEXT(MOD(ROUND(IFERROR(TIMEVALUE(IF(LEN(C363)-LEN(SUBSTITUTE(C363,":",""))=2,"","0:")&amp;C363)*86400,"")/VALUE(SUBSTITUTE(B363,"K","")),0),60),"00"),""))</f>
        <v/>
      </c>
      <c r="G363" s="21">
        <f>IF(A363="","",IF(COUNTIF(Atletas!$A$2:$A$302,A363)&gt;0,"Sí","No"))</f>
        <v/>
      </c>
    </row>
    <row r="364">
      <c r="A364" s="17" t="n"/>
      <c r="B364" s="17" t="n"/>
      <c r="C364" s="18" t="n"/>
      <c r="D364" s="19" t="n"/>
      <c r="E364" s="17" t="n"/>
      <c r="F364" s="21">
        <f>IF(OR(B364="",C364=""),"",IFERROR(INT(ROUND(IFERROR(TIMEVALUE(IF(LEN(C364)-LEN(SUBSTITUTE(C364,":",""))=2,"","0:")&amp;C364)*86400,"")/VALUE(SUBSTITUTE(B364,"K","")),0)/60)&amp;":"&amp;TEXT(MOD(ROUND(IFERROR(TIMEVALUE(IF(LEN(C364)-LEN(SUBSTITUTE(C364,":",""))=2,"","0:")&amp;C364)*86400,"")/VALUE(SUBSTITUTE(B364,"K","")),0),60),"00"),""))</f>
        <v/>
      </c>
      <c r="G364" s="21">
        <f>IF(A364="","",IF(COUNTIF(Atletas!$A$2:$A$302,A364)&gt;0,"Sí","No"))</f>
        <v/>
      </c>
    </row>
    <row r="365">
      <c r="A365" s="17" t="n"/>
      <c r="B365" s="17" t="n"/>
      <c r="C365" s="18" t="n"/>
      <c r="D365" s="19" t="n"/>
      <c r="E365" s="17" t="n"/>
      <c r="F365" s="21">
        <f>IF(OR(B365="",C365=""),"",IFERROR(INT(ROUND(IFERROR(TIMEVALUE(IF(LEN(C365)-LEN(SUBSTITUTE(C365,":",""))=2,"","0:")&amp;C365)*86400,"")/VALUE(SUBSTITUTE(B365,"K","")),0)/60)&amp;":"&amp;TEXT(MOD(ROUND(IFERROR(TIMEVALUE(IF(LEN(C365)-LEN(SUBSTITUTE(C365,":",""))=2,"","0:")&amp;C365)*86400,"")/VALUE(SUBSTITUTE(B365,"K","")),0),60),"00"),""))</f>
        <v/>
      </c>
      <c r="G365" s="21">
        <f>IF(A365="","",IF(COUNTIF(Atletas!$A$2:$A$302,A365)&gt;0,"Sí","No"))</f>
        <v/>
      </c>
    </row>
    <row r="366">
      <c r="A366" s="17" t="n"/>
      <c r="B366" s="17" t="n"/>
      <c r="C366" s="18" t="n"/>
      <c r="D366" s="19" t="n"/>
      <c r="E366" s="17" t="n"/>
      <c r="F366" s="21">
        <f>IF(OR(B366="",C366=""),"",IFERROR(INT(ROUND(IFERROR(TIMEVALUE(IF(LEN(C366)-LEN(SUBSTITUTE(C366,":",""))=2,"","0:")&amp;C366)*86400,"")/VALUE(SUBSTITUTE(B366,"K","")),0)/60)&amp;":"&amp;TEXT(MOD(ROUND(IFERROR(TIMEVALUE(IF(LEN(C366)-LEN(SUBSTITUTE(C366,":",""))=2,"","0:")&amp;C366)*86400,"")/VALUE(SUBSTITUTE(B366,"K","")),0),60),"00"),""))</f>
        <v/>
      </c>
      <c r="G366" s="21">
        <f>IF(A366="","",IF(COUNTIF(Atletas!$A$2:$A$302,A366)&gt;0,"Sí","No"))</f>
        <v/>
      </c>
    </row>
    <row r="367">
      <c r="A367" s="17" t="n"/>
      <c r="B367" s="17" t="n"/>
      <c r="C367" s="18" t="n"/>
      <c r="D367" s="19" t="n"/>
      <c r="E367" s="17" t="n"/>
      <c r="F367" s="21">
        <f>IF(OR(B367="",C367=""),"",IFERROR(INT(ROUND(IFERROR(TIMEVALUE(IF(LEN(C367)-LEN(SUBSTITUTE(C367,":",""))=2,"","0:")&amp;C367)*86400,"")/VALUE(SUBSTITUTE(B367,"K","")),0)/60)&amp;":"&amp;TEXT(MOD(ROUND(IFERROR(TIMEVALUE(IF(LEN(C367)-LEN(SUBSTITUTE(C367,":",""))=2,"","0:")&amp;C367)*86400,"")/VALUE(SUBSTITUTE(B367,"K","")),0),60),"00"),""))</f>
        <v/>
      </c>
      <c r="G367" s="21">
        <f>IF(A367="","",IF(COUNTIF(Atletas!$A$2:$A$302,A367)&gt;0,"Sí","No"))</f>
        <v/>
      </c>
    </row>
    <row r="368">
      <c r="A368" s="17" t="n"/>
      <c r="B368" s="17" t="n"/>
      <c r="C368" s="18" t="n"/>
      <c r="D368" s="19" t="n"/>
      <c r="E368" s="17" t="n"/>
      <c r="F368" s="21">
        <f>IF(OR(B368="",C368=""),"",IFERROR(INT(ROUND(IFERROR(TIMEVALUE(IF(LEN(C368)-LEN(SUBSTITUTE(C368,":",""))=2,"","0:")&amp;C368)*86400,"")/VALUE(SUBSTITUTE(B368,"K","")),0)/60)&amp;":"&amp;TEXT(MOD(ROUND(IFERROR(TIMEVALUE(IF(LEN(C368)-LEN(SUBSTITUTE(C368,":",""))=2,"","0:")&amp;C368)*86400,"")/VALUE(SUBSTITUTE(B368,"K","")),0),60),"00"),""))</f>
        <v/>
      </c>
      <c r="G368" s="21">
        <f>IF(A368="","",IF(COUNTIF(Atletas!$A$2:$A$302,A368)&gt;0,"Sí","No"))</f>
        <v/>
      </c>
    </row>
    <row r="369">
      <c r="A369" s="17" t="n"/>
      <c r="B369" s="17" t="n"/>
      <c r="C369" s="18" t="n"/>
      <c r="D369" s="19" t="n"/>
      <c r="E369" s="17" t="n"/>
      <c r="F369" s="21">
        <f>IF(OR(B369="",C369=""),"",IFERROR(INT(ROUND(IFERROR(TIMEVALUE(IF(LEN(C369)-LEN(SUBSTITUTE(C369,":",""))=2,"","0:")&amp;C369)*86400,"")/VALUE(SUBSTITUTE(B369,"K","")),0)/60)&amp;":"&amp;TEXT(MOD(ROUND(IFERROR(TIMEVALUE(IF(LEN(C369)-LEN(SUBSTITUTE(C369,":",""))=2,"","0:")&amp;C369)*86400,"")/VALUE(SUBSTITUTE(B369,"K","")),0),60),"00"),""))</f>
        <v/>
      </c>
      <c r="G369" s="21">
        <f>IF(A369="","",IF(COUNTIF(Atletas!$A$2:$A$302,A369)&gt;0,"Sí","No"))</f>
        <v/>
      </c>
    </row>
    <row r="370">
      <c r="A370" s="17" t="n"/>
      <c r="B370" s="17" t="n"/>
      <c r="C370" s="18" t="n"/>
      <c r="D370" s="19" t="n"/>
      <c r="E370" s="17" t="n"/>
      <c r="F370" s="21">
        <f>IF(OR(B370="",C370=""),"",IFERROR(INT(ROUND(IFERROR(TIMEVALUE(IF(LEN(C370)-LEN(SUBSTITUTE(C370,":",""))=2,"","0:")&amp;C370)*86400,"")/VALUE(SUBSTITUTE(B370,"K","")),0)/60)&amp;":"&amp;TEXT(MOD(ROUND(IFERROR(TIMEVALUE(IF(LEN(C370)-LEN(SUBSTITUTE(C370,":",""))=2,"","0:")&amp;C370)*86400,"")/VALUE(SUBSTITUTE(B370,"K","")),0),60),"00"),""))</f>
        <v/>
      </c>
      <c r="G370" s="21">
        <f>IF(A370="","",IF(COUNTIF(Atletas!$A$2:$A$302,A370)&gt;0,"Sí","No"))</f>
        <v/>
      </c>
    </row>
    <row r="371">
      <c r="A371" s="17" t="n"/>
      <c r="B371" s="17" t="n"/>
      <c r="C371" s="18" t="n"/>
      <c r="D371" s="19" t="n"/>
      <c r="E371" s="17" t="n"/>
      <c r="F371" s="21">
        <f>IF(OR(B371="",C371=""),"",IFERROR(INT(ROUND(IFERROR(TIMEVALUE(IF(LEN(C371)-LEN(SUBSTITUTE(C371,":",""))=2,"","0:")&amp;C371)*86400,"")/VALUE(SUBSTITUTE(B371,"K","")),0)/60)&amp;":"&amp;TEXT(MOD(ROUND(IFERROR(TIMEVALUE(IF(LEN(C371)-LEN(SUBSTITUTE(C371,":",""))=2,"","0:")&amp;C371)*86400,"")/VALUE(SUBSTITUTE(B371,"K","")),0),60),"00"),""))</f>
        <v/>
      </c>
      <c r="G371" s="21">
        <f>IF(A371="","",IF(COUNTIF(Atletas!$A$2:$A$302,A371)&gt;0,"Sí","No"))</f>
        <v/>
      </c>
    </row>
    <row r="372">
      <c r="A372" s="17" t="n"/>
      <c r="B372" s="17" t="n"/>
      <c r="C372" s="18" t="n"/>
      <c r="D372" s="19" t="n"/>
      <c r="E372" s="17" t="n"/>
      <c r="F372" s="21">
        <f>IF(OR(B372="",C372=""),"",IFERROR(INT(ROUND(IFERROR(TIMEVALUE(IF(LEN(C372)-LEN(SUBSTITUTE(C372,":",""))=2,"","0:")&amp;C372)*86400,"")/VALUE(SUBSTITUTE(B372,"K","")),0)/60)&amp;":"&amp;TEXT(MOD(ROUND(IFERROR(TIMEVALUE(IF(LEN(C372)-LEN(SUBSTITUTE(C372,":",""))=2,"","0:")&amp;C372)*86400,"")/VALUE(SUBSTITUTE(B372,"K","")),0),60),"00"),""))</f>
        <v/>
      </c>
      <c r="G372" s="21">
        <f>IF(A372="","",IF(COUNTIF(Atletas!$A$2:$A$302,A372)&gt;0,"Sí","No"))</f>
        <v/>
      </c>
    </row>
    <row r="373">
      <c r="A373" s="17" t="n"/>
      <c r="B373" s="17" t="n"/>
      <c r="C373" s="18" t="n"/>
      <c r="D373" s="19" t="n"/>
      <c r="E373" s="17" t="n"/>
      <c r="F373" s="21">
        <f>IF(OR(B373="",C373=""),"",IFERROR(INT(ROUND(IFERROR(TIMEVALUE(IF(LEN(C373)-LEN(SUBSTITUTE(C373,":",""))=2,"","0:")&amp;C373)*86400,"")/VALUE(SUBSTITUTE(B373,"K","")),0)/60)&amp;":"&amp;TEXT(MOD(ROUND(IFERROR(TIMEVALUE(IF(LEN(C373)-LEN(SUBSTITUTE(C373,":",""))=2,"","0:")&amp;C373)*86400,"")/VALUE(SUBSTITUTE(B373,"K","")),0),60),"00"),""))</f>
        <v/>
      </c>
      <c r="G373" s="21">
        <f>IF(A373="","",IF(COUNTIF(Atletas!$A$2:$A$302,A373)&gt;0,"Sí","No"))</f>
        <v/>
      </c>
    </row>
    <row r="374">
      <c r="A374" s="17" t="n"/>
      <c r="B374" s="17" t="n"/>
      <c r="C374" s="18" t="n"/>
      <c r="D374" s="19" t="n"/>
      <c r="E374" s="17" t="n"/>
      <c r="F374" s="21">
        <f>IF(OR(B374="",C374=""),"",IFERROR(INT(ROUND(IFERROR(TIMEVALUE(IF(LEN(C374)-LEN(SUBSTITUTE(C374,":",""))=2,"","0:")&amp;C374)*86400,"")/VALUE(SUBSTITUTE(B374,"K","")),0)/60)&amp;":"&amp;TEXT(MOD(ROUND(IFERROR(TIMEVALUE(IF(LEN(C374)-LEN(SUBSTITUTE(C374,":",""))=2,"","0:")&amp;C374)*86400,"")/VALUE(SUBSTITUTE(B374,"K","")),0),60),"00"),""))</f>
        <v/>
      </c>
      <c r="G374" s="21">
        <f>IF(A374="","",IF(COUNTIF(Atletas!$A$2:$A$302,A374)&gt;0,"Sí","No"))</f>
        <v/>
      </c>
    </row>
    <row r="375">
      <c r="A375" s="17" t="n"/>
      <c r="B375" s="17" t="n"/>
      <c r="C375" s="18" t="n"/>
      <c r="D375" s="19" t="n"/>
      <c r="E375" s="17" t="n"/>
      <c r="F375" s="21">
        <f>IF(OR(B375="",C375=""),"",IFERROR(INT(ROUND(IFERROR(TIMEVALUE(IF(LEN(C375)-LEN(SUBSTITUTE(C375,":",""))=2,"","0:")&amp;C375)*86400,"")/VALUE(SUBSTITUTE(B375,"K","")),0)/60)&amp;":"&amp;TEXT(MOD(ROUND(IFERROR(TIMEVALUE(IF(LEN(C375)-LEN(SUBSTITUTE(C375,":",""))=2,"","0:")&amp;C375)*86400,"")/VALUE(SUBSTITUTE(B375,"K","")),0),60),"00"),""))</f>
        <v/>
      </c>
      <c r="G375" s="21">
        <f>IF(A375="","",IF(COUNTIF(Atletas!$A$2:$A$302,A375)&gt;0,"Sí","No"))</f>
        <v/>
      </c>
    </row>
    <row r="376">
      <c r="A376" s="17" t="n"/>
      <c r="B376" s="17" t="n"/>
      <c r="C376" s="18" t="n"/>
      <c r="D376" s="19" t="n"/>
      <c r="E376" s="17" t="n"/>
      <c r="F376" s="21">
        <f>IF(OR(B376="",C376=""),"",IFERROR(INT(ROUND(IFERROR(TIMEVALUE(IF(LEN(C376)-LEN(SUBSTITUTE(C376,":",""))=2,"","0:")&amp;C376)*86400,"")/VALUE(SUBSTITUTE(B376,"K","")),0)/60)&amp;":"&amp;TEXT(MOD(ROUND(IFERROR(TIMEVALUE(IF(LEN(C376)-LEN(SUBSTITUTE(C376,":",""))=2,"","0:")&amp;C376)*86400,"")/VALUE(SUBSTITUTE(B376,"K","")),0),60),"00"),""))</f>
        <v/>
      </c>
      <c r="G376" s="21">
        <f>IF(A376="","",IF(COUNTIF(Atletas!$A$2:$A$302,A376)&gt;0,"Sí","No"))</f>
        <v/>
      </c>
    </row>
    <row r="377">
      <c r="A377" s="17" t="n"/>
      <c r="B377" s="17" t="n"/>
      <c r="C377" s="18" t="n"/>
      <c r="D377" s="19" t="n"/>
      <c r="E377" s="17" t="n"/>
      <c r="F377" s="21">
        <f>IF(OR(B377="",C377=""),"",IFERROR(INT(ROUND(IFERROR(TIMEVALUE(IF(LEN(C377)-LEN(SUBSTITUTE(C377,":",""))=2,"","0:")&amp;C377)*86400,"")/VALUE(SUBSTITUTE(B377,"K","")),0)/60)&amp;":"&amp;TEXT(MOD(ROUND(IFERROR(TIMEVALUE(IF(LEN(C377)-LEN(SUBSTITUTE(C377,":",""))=2,"","0:")&amp;C377)*86400,"")/VALUE(SUBSTITUTE(B377,"K","")),0),60),"00"),""))</f>
        <v/>
      </c>
      <c r="G377" s="21">
        <f>IF(A377="","",IF(COUNTIF(Atletas!$A$2:$A$302,A377)&gt;0,"Sí","No"))</f>
        <v/>
      </c>
    </row>
    <row r="378">
      <c r="A378" s="17" t="n"/>
      <c r="B378" s="17" t="n"/>
      <c r="C378" s="18" t="n"/>
      <c r="D378" s="19" t="n"/>
      <c r="E378" s="17" t="n"/>
      <c r="F378" s="21">
        <f>IF(OR(B378="",C378=""),"",IFERROR(INT(ROUND(IFERROR(TIMEVALUE(IF(LEN(C378)-LEN(SUBSTITUTE(C378,":",""))=2,"","0:")&amp;C378)*86400,"")/VALUE(SUBSTITUTE(B378,"K","")),0)/60)&amp;":"&amp;TEXT(MOD(ROUND(IFERROR(TIMEVALUE(IF(LEN(C378)-LEN(SUBSTITUTE(C378,":",""))=2,"","0:")&amp;C378)*86400,"")/VALUE(SUBSTITUTE(B378,"K","")),0),60),"00"),""))</f>
        <v/>
      </c>
      <c r="G378" s="21">
        <f>IF(A378="","",IF(COUNTIF(Atletas!$A$2:$A$302,A378)&gt;0,"Sí","No"))</f>
        <v/>
      </c>
    </row>
    <row r="379">
      <c r="A379" s="17" t="n"/>
      <c r="B379" s="17" t="n"/>
      <c r="C379" s="18" t="n"/>
      <c r="D379" s="19" t="n"/>
      <c r="E379" s="17" t="n"/>
      <c r="F379" s="21">
        <f>IF(OR(B379="",C379=""),"",IFERROR(INT(ROUND(IFERROR(TIMEVALUE(IF(LEN(C379)-LEN(SUBSTITUTE(C379,":",""))=2,"","0:")&amp;C379)*86400,"")/VALUE(SUBSTITUTE(B379,"K","")),0)/60)&amp;":"&amp;TEXT(MOD(ROUND(IFERROR(TIMEVALUE(IF(LEN(C379)-LEN(SUBSTITUTE(C379,":",""))=2,"","0:")&amp;C379)*86400,"")/VALUE(SUBSTITUTE(B379,"K","")),0),60),"00"),""))</f>
        <v/>
      </c>
      <c r="G379" s="21">
        <f>IF(A379="","",IF(COUNTIF(Atletas!$A$2:$A$302,A379)&gt;0,"Sí","No"))</f>
        <v/>
      </c>
    </row>
    <row r="380">
      <c r="A380" s="17" t="n"/>
      <c r="B380" s="17" t="n"/>
      <c r="C380" s="18" t="n"/>
      <c r="D380" s="19" t="n"/>
      <c r="E380" s="17" t="n"/>
      <c r="F380" s="21">
        <f>IF(OR(B380="",C380=""),"",IFERROR(INT(ROUND(IFERROR(TIMEVALUE(IF(LEN(C380)-LEN(SUBSTITUTE(C380,":",""))=2,"","0:")&amp;C380)*86400,"")/VALUE(SUBSTITUTE(B380,"K","")),0)/60)&amp;":"&amp;TEXT(MOD(ROUND(IFERROR(TIMEVALUE(IF(LEN(C380)-LEN(SUBSTITUTE(C380,":",""))=2,"","0:")&amp;C380)*86400,"")/VALUE(SUBSTITUTE(B380,"K","")),0),60),"00"),""))</f>
        <v/>
      </c>
      <c r="G380" s="21">
        <f>IF(A380="","",IF(COUNTIF(Atletas!$A$2:$A$302,A380)&gt;0,"Sí","No"))</f>
        <v/>
      </c>
    </row>
    <row r="381">
      <c r="A381" s="17" t="n"/>
      <c r="B381" s="17" t="n"/>
      <c r="C381" s="18" t="n"/>
      <c r="D381" s="19" t="n"/>
      <c r="E381" s="17" t="n"/>
      <c r="F381" s="21">
        <f>IF(OR(B381="",C381=""),"",IFERROR(INT(ROUND(IFERROR(TIMEVALUE(IF(LEN(C381)-LEN(SUBSTITUTE(C381,":",""))=2,"","0:")&amp;C381)*86400,"")/VALUE(SUBSTITUTE(B381,"K","")),0)/60)&amp;":"&amp;TEXT(MOD(ROUND(IFERROR(TIMEVALUE(IF(LEN(C381)-LEN(SUBSTITUTE(C381,":",""))=2,"","0:")&amp;C381)*86400,"")/VALUE(SUBSTITUTE(B381,"K","")),0),60),"00"),""))</f>
        <v/>
      </c>
      <c r="G381" s="21">
        <f>IF(A381="","",IF(COUNTIF(Atletas!$A$2:$A$302,A381)&gt;0,"Sí","No"))</f>
        <v/>
      </c>
    </row>
    <row r="382">
      <c r="A382" s="17" t="n"/>
      <c r="B382" s="17" t="n"/>
      <c r="C382" s="18" t="n"/>
      <c r="D382" s="19" t="n"/>
      <c r="E382" s="17" t="n"/>
      <c r="F382" s="21">
        <f>IF(OR(B382="",C382=""),"",IFERROR(INT(ROUND(IFERROR(TIMEVALUE(IF(LEN(C382)-LEN(SUBSTITUTE(C382,":",""))=2,"","0:")&amp;C382)*86400,"")/VALUE(SUBSTITUTE(B382,"K","")),0)/60)&amp;":"&amp;TEXT(MOD(ROUND(IFERROR(TIMEVALUE(IF(LEN(C382)-LEN(SUBSTITUTE(C382,":",""))=2,"","0:")&amp;C382)*86400,"")/VALUE(SUBSTITUTE(B382,"K","")),0),60),"00"),""))</f>
        <v/>
      </c>
      <c r="G382" s="21">
        <f>IF(A382="","",IF(COUNTIF(Atletas!$A$2:$A$302,A382)&gt;0,"Sí","No"))</f>
        <v/>
      </c>
    </row>
    <row r="383">
      <c r="A383" s="17" t="n"/>
      <c r="B383" s="17" t="n"/>
      <c r="C383" s="18" t="n"/>
      <c r="D383" s="19" t="n"/>
      <c r="E383" s="17" t="n"/>
      <c r="F383" s="21">
        <f>IF(OR(B383="",C383=""),"",IFERROR(INT(ROUND(IFERROR(TIMEVALUE(IF(LEN(C383)-LEN(SUBSTITUTE(C383,":",""))=2,"","0:")&amp;C383)*86400,"")/VALUE(SUBSTITUTE(B383,"K","")),0)/60)&amp;":"&amp;TEXT(MOD(ROUND(IFERROR(TIMEVALUE(IF(LEN(C383)-LEN(SUBSTITUTE(C383,":",""))=2,"","0:")&amp;C383)*86400,"")/VALUE(SUBSTITUTE(B383,"K","")),0),60),"00"),""))</f>
        <v/>
      </c>
      <c r="G383" s="21">
        <f>IF(A383="","",IF(COUNTIF(Atletas!$A$2:$A$302,A383)&gt;0,"Sí","No"))</f>
        <v/>
      </c>
    </row>
    <row r="384">
      <c r="A384" s="17" t="n"/>
      <c r="B384" s="17" t="n"/>
      <c r="C384" s="18" t="n"/>
      <c r="D384" s="19" t="n"/>
      <c r="E384" s="17" t="n"/>
      <c r="F384" s="21">
        <f>IF(OR(B384="",C384=""),"",IFERROR(INT(ROUND(IFERROR(TIMEVALUE(IF(LEN(C384)-LEN(SUBSTITUTE(C384,":",""))=2,"","0:")&amp;C384)*86400,"")/VALUE(SUBSTITUTE(B384,"K","")),0)/60)&amp;":"&amp;TEXT(MOD(ROUND(IFERROR(TIMEVALUE(IF(LEN(C384)-LEN(SUBSTITUTE(C384,":",""))=2,"","0:")&amp;C384)*86400,"")/VALUE(SUBSTITUTE(B384,"K","")),0),60),"00"),""))</f>
        <v/>
      </c>
      <c r="G384" s="21">
        <f>IF(A384="","",IF(COUNTIF(Atletas!$A$2:$A$302,A384)&gt;0,"Sí","No"))</f>
        <v/>
      </c>
    </row>
    <row r="385">
      <c r="A385" s="17" t="n"/>
      <c r="B385" s="17" t="n"/>
      <c r="C385" s="18" t="n"/>
      <c r="D385" s="19" t="n"/>
      <c r="E385" s="17" t="n"/>
      <c r="F385" s="21">
        <f>IF(OR(B385="",C385=""),"",IFERROR(INT(ROUND(IFERROR(TIMEVALUE(IF(LEN(C385)-LEN(SUBSTITUTE(C385,":",""))=2,"","0:")&amp;C385)*86400,"")/VALUE(SUBSTITUTE(B385,"K","")),0)/60)&amp;":"&amp;TEXT(MOD(ROUND(IFERROR(TIMEVALUE(IF(LEN(C385)-LEN(SUBSTITUTE(C385,":",""))=2,"","0:")&amp;C385)*86400,"")/VALUE(SUBSTITUTE(B385,"K","")),0),60),"00"),""))</f>
        <v/>
      </c>
      <c r="G385" s="21">
        <f>IF(A385="","",IF(COUNTIF(Atletas!$A$2:$A$302,A385)&gt;0,"Sí","No"))</f>
        <v/>
      </c>
    </row>
    <row r="386">
      <c r="A386" s="17" t="n"/>
      <c r="B386" s="17" t="n"/>
      <c r="C386" s="18" t="n"/>
      <c r="D386" s="19" t="n"/>
      <c r="E386" s="17" t="n"/>
      <c r="F386" s="21">
        <f>IF(OR(B386="",C386=""),"",IFERROR(INT(ROUND(IFERROR(TIMEVALUE(IF(LEN(C386)-LEN(SUBSTITUTE(C386,":",""))=2,"","0:")&amp;C386)*86400,"")/VALUE(SUBSTITUTE(B386,"K","")),0)/60)&amp;":"&amp;TEXT(MOD(ROUND(IFERROR(TIMEVALUE(IF(LEN(C386)-LEN(SUBSTITUTE(C386,":",""))=2,"","0:")&amp;C386)*86400,"")/VALUE(SUBSTITUTE(B386,"K","")),0),60),"00"),""))</f>
        <v/>
      </c>
      <c r="G386" s="21">
        <f>IF(A386="","",IF(COUNTIF(Atletas!$A$2:$A$302,A386)&gt;0,"Sí","No"))</f>
        <v/>
      </c>
    </row>
    <row r="387">
      <c r="A387" s="17" t="n"/>
      <c r="B387" s="17" t="n"/>
      <c r="C387" s="18" t="n"/>
      <c r="D387" s="19" t="n"/>
      <c r="E387" s="17" t="n"/>
      <c r="F387" s="21">
        <f>IF(OR(B387="",C387=""),"",IFERROR(INT(ROUND(IFERROR(TIMEVALUE(IF(LEN(C387)-LEN(SUBSTITUTE(C387,":",""))=2,"","0:")&amp;C387)*86400,"")/VALUE(SUBSTITUTE(B387,"K","")),0)/60)&amp;":"&amp;TEXT(MOD(ROUND(IFERROR(TIMEVALUE(IF(LEN(C387)-LEN(SUBSTITUTE(C387,":",""))=2,"","0:")&amp;C387)*86400,"")/VALUE(SUBSTITUTE(B387,"K","")),0),60),"00"),""))</f>
        <v/>
      </c>
      <c r="G387" s="21">
        <f>IF(A387="","",IF(COUNTIF(Atletas!$A$2:$A$302,A387)&gt;0,"Sí","No"))</f>
        <v/>
      </c>
    </row>
    <row r="388">
      <c r="A388" s="17" t="n"/>
      <c r="B388" s="17" t="n"/>
      <c r="C388" s="18" t="n"/>
      <c r="D388" s="19" t="n"/>
      <c r="E388" s="17" t="n"/>
      <c r="F388" s="21">
        <f>IF(OR(B388="",C388=""),"",IFERROR(INT(ROUND(IFERROR(TIMEVALUE(IF(LEN(C388)-LEN(SUBSTITUTE(C388,":",""))=2,"","0:")&amp;C388)*86400,"")/VALUE(SUBSTITUTE(B388,"K","")),0)/60)&amp;":"&amp;TEXT(MOD(ROUND(IFERROR(TIMEVALUE(IF(LEN(C388)-LEN(SUBSTITUTE(C388,":",""))=2,"","0:")&amp;C388)*86400,"")/VALUE(SUBSTITUTE(B388,"K","")),0),60),"00"),""))</f>
        <v/>
      </c>
      <c r="G388" s="21">
        <f>IF(A388="","",IF(COUNTIF(Atletas!$A$2:$A$302,A388)&gt;0,"Sí","No"))</f>
        <v/>
      </c>
    </row>
    <row r="389">
      <c r="A389" s="17" t="n"/>
      <c r="B389" s="17" t="n"/>
      <c r="C389" s="18" t="n"/>
      <c r="D389" s="19" t="n"/>
      <c r="E389" s="17" t="n"/>
      <c r="F389" s="21">
        <f>IF(OR(B389="",C389=""),"",IFERROR(INT(ROUND(IFERROR(TIMEVALUE(IF(LEN(C389)-LEN(SUBSTITUTE(C389,":",""))=2,"","0:")&amp;C389)*86400,"")/VALUE(SUBSTITUTE(B389,"K","")),0)/60)&amp;":"&amp;TEXT(MOD(ROUND(IFERROR(TIMEVALUE(IF(LEN(C389)-LEN(SUBSTITUTE(C389,":",""))=2,"","0:")&amp;C389)*86400,"")/VALUE(SUBSTITUTE(B389,"K","")),0),60),"00"),""))</f>
        <v/>
      </c>
      <c r="G389" s="21">
        <f>IF(A389="","",IF(COUNTIF(Atletas!$A$2:$A$302,A389)&gt;0,"Sí","No"))</f>
        <v/>
      </c>
    </row>
    <row r="390">
      <c r="A390" s="17" t="n"/>
      <c r="B390" s="17" t="n"/>
      <c r="C390" s="18" t="n"/>
      <c r="D390" s="19" t="n"/>
      <c r="E390" s="17" t="n"/>
      <c r="F390" s="21">
        <f>IF(OR(B390="",C390=""),"",IFERROR(INT(ROUND(IFERROR(TIMEVALUE(IF(LEN(C390)-LEN(SUBSTITUTE(C390,":",""))=2,"","0:")&amp;C390)*86400,"")/VALUE(SUBSTITUTE(B390,"K","")),0)/60)&amp;":"&amp;TEXT(MOD(ROUND(IFERROR(TIMEVALUE(IF(LEN(C390)-LEN(SUBSTITUTE(C390,":",""))=2,"","0:")&amp;C390)*86400,"")/VALUE(SUBSTITUTE(B390,"K","")),0),60),"00"),""))</f>
        <v/>
      </c>
      <c r="G390" s="21">
        <f>IF(A390="","",IF(COUNTIF(Atletas!$A$2:$A$302,A390)&gt;0,"Sí","No"))</f>
        <v/>
      </c>
    </row>
    <row r="391">
      <c r="A391" s="17" t="n"/>
      <c r="B391" s="17" t="n"/>
      <c r="C391" s="18" t="n"/>
      <c r="D391" s="19" t="n"/>
      <c r="E391" s="17" t="n"/>
      <c r="F391" s="21">
        <f>IF(OR(B391="",C391=""),"",IFERROR(INT(ROUND(IFERROR(TIMEVALUE(IF(LEN(C391)-LEN(SUBSTITUTE(C391,":",""))=2,"","0:")&amp;C391)*86400,"")/VALUE(SUBSTITUTE(B391,"K","")),0)/60)&amp;":"&amp;TEXT(MOD(ROUND(IFERROR(TIMEVALUE(IF(LEN(C391)-LEN(SUBSTITUTE(C391,":",""))=2,"","0:")&amp;C391)*86400,"")/VALUE(SUBSTITUTE(B391,"K","")),0),60),"00"),""))</f>
        <v/>
      </c>
      <c r="G391" s="21">
        <f>IF(A391="","",IF(COUNTIF(Atletas!$A$2:$A$302,A391)&gt;0,"Sí","No"))</f>
        <v/>
      </c>
    </row>
    <row r="392">
      <c r="A392" s="17" t="n"/>
      <c r="B392" s="17" t="n"/>
      <c r="C392" s="18" t="n"/>
      <c r="D392" s="19" t="n"/>
      <c r="E392" s="17" t="n"/>
      <c r="F392" s="21">
        <f>IF(OR(B392="",C392=""),"",IFERROR(INT(ROUND(IFERROR(TIMEVALUE(IF(LEN(C392)-LEN(SUBSTITUTE(C392,":",""))=2,"","0:")&amp;C392)*86400,"")/VALUE(SUBSTITUTE(B392,"K","")),0)/60)&amp;":"&amp;TEXT(MOD(ROUND(IFERROR(TIMEVALUE(IF(LEN(C392)-LEN(SUBSTITUTE(C392,":",""))=2,"","0:")&amp;C392)*86400,"")/VALUE(SUBSTITUTE(B392,"K","")),0),60),"00"),""))</f>
        <v/>
      </c>
      <c r="G392" s="21">
        <f>IF(A392="","",IF(COUNTIF(Atletas!$A$2:$A$302,A392)&gt;0,"Sí","No"))</f>
        <v/>
      </c>
    </row>
    <row r="393">
      <c r="A393" s="17" t="n"/>
      <c r="B393" s="17" t="n"/>
      <c r="C393" s="18" t="n"/>
      <c r="D393" s="19" t="n"/>
      <c r="E393" s="17" t="n"/>
      <c r="F393" s="21">
        <f>IF(OR(B393="",C393=""),"",IFERROR(INT(ROUND(IFERROR(TIMEVALUE(IF(LEN(C393)-LEN(SUBSTITUTE(C393,":",""))=2,"","0:")&amp;C393)*86400,"")/VALUE(SUBSTITUTE(B393,"K","")),0)/60)&amp;":"&amp;TEXT(MOD(ROUND(IFERROR(TIMEVALUE(IF(LEN(C393)-LEN(SUBSTITUTE(C393,":",""))=2,"","0:")&amp;C393)*86400,"")/VALUE(SUBSTITUTE(B393,"K","")),0),60),"00"),""))</f>
        <v/>
      </c>
      <c r="G393" s="21">
        <f>IF(A393="","",IF(COUNTIF(Atletas!$A$2:$A$302,A393)&gt;0,"Sí","No"))</f>
        <v/>
      </c>
    </row>
    <row r="394">
      <c r="A394" s="17" t="n"/>
      <c r="B394" s="17" t="n"/>
      <c r="C394" s="18" t="n"/>
      <c r="D394" s="19" t="n"/>
      <c r="E394" s="17" t="n"/>
      <c r="F394" s="21">
        <f>IF(OR(B394="",C394=""),"",IFERROR(INT(ROUND(IFERROR(TIMEVALUE(IF(LEN(C394)-LEN(SUBSTITUTE(C394,":",""))=2,"","0:")&amp;C394)*86400,"")/VALUE(SUBSTITUTE(B394,"K","")),0)/60)&amp;":"&amp;TEXT(MOD(ROUND(IFERROR(TIMEVALUE(IF(LEN(C394)-LEN(SUBSTITUTE(C394,":",""))=2,"","0:")&amp;C394)*86400,"")/VALUE(SUBSTITUTE(B394,"K","")),0),60),"00"),""))</f>
        <v/>
      </c>
      <c r="G394" s="21">
        <f>IF(A394="","",IF(COUNTIF(Atletas!$A$2:$A$302,A394)&gt;0,"Sí","No"))</f>
        <v/>
      </c>
    </row>
    <row r="395">
      <c r="A395" s="17" t="n"/>
      <c r="B395" s="17" t="n"/>
      <c r="C395" s="18" t="n"/>
      <c r="D395" s="19" t="n"/>
      <c r="E395" s="17" t="n"/>
      <c r="F395" s="21">
        <f>IF(OR(B395="",C395=""),"",IFERROR(INT(ROUND(IFERROR(TIMEVALUE(IF(LEN(C395)-LEN(SUBSTITUTE(C395,":",""))=2,"","0:")&amp;C395)*86400,"")/VALUE(SUBSTITUTE(B395,"K","")),0)/60)&amp;":"&amp;TEXT(MOD(ROUND(IFERROR(TIMEVALUE(IF(LEN(C395)-LEN(SUBSTITUTE(C395,":",""))=2,"","0:")&amp;C395)*86400,"")/VALUE(SUBSTITUTE(B395,"K","")),0),60),"00"),""))</f>
        <v/>
      </c>
      <c r="G395" s="21">
        <f>IF(A395="","",IF(COUNTIF(Atletas!$A$2:$A$302,A395)&gt;0,"Sí","No"))</f>
        <v/>
      </c>
    </row>
    <row r="396">
      <c r="A396" s="17" t="n"/>
      <c r="B396" s="17" t="n"/>
      <c r="C396" s="18" t="n"/>
      <c r="D396" s="19" t="n"/>
      <c r="E396" s="17" t="n"/>
      <c r="F396" s="21">
        <f>IF(OR(B396="",C396=""),"",IFERROR(INT(ROUND(IFERROR(TIMEVALUE(IF(LEN(C396)-LEN(SUBSTITUTE(C396,":",""))=2,"","0:")&amp;C396)*86400,"")/VALUE(SUBSTITUTE(B396,"K","")),0)/60)&amp;":"&amp;TEXT(MOD(ROUND(IFERROR(TIMEVALUE(IF(LEN(C396)-LEN(SUBSTITUTE(C396,":",""))=2,"","0:")&amp;C396)*86400,"")/VALUE(SUBSTITUTE(B396,"K","")),0),60),"00"),""))</f>
        <v/>
      </c>
      <c r="G396" s="21">
        <f>IF(A396="","",IF(COUNTIF(Atletas!$A$2:$A$302,A396)&gt;0,"Sí","No"))</f>
        <v/>
      </c>
    </row>
    <row r="397">
      <c r="A397" s="17" t="n"/>
      <c r="B397" s="17" t="n"/>
      <c r="C397" s="18" t="n"/>
      <c r="D397" s="19" t="n"/>
      <c r="E397" s="17" t="n"/>
      <c r="F397" s="21">
        <f>IF(OR(B397="",C397=""),"",IFERROR(INT(ROUND(IFERROR(TIMEVALUE(IF(LEN(C397)-LEN(SUBSTITUTE(C397,":",""))=2,"","0:")&amp;C397)*86400,"")/VALUE(SUBSTITUTE(B397,"K","")),0)/60)&amp;":"&amp;TEXT(MOD(ROUND(IFERROR(TIMEVALUE(IF(LEN(C397)-LEN(SUBSTITUTE(C397,":",""))=2,"","0:")&amp;C397)*86400,"")/VALUE(SUBSTITUTE(B397,"K","")),0),60),"00"),""))</f>
        <v/>
      </c>
      <c r="G397" s="21">
        <f>IF(A397="","",IF(COUNTIF(Atletas!$A$2:$A$302,A397)&gt;0,"Sí","No"))</f>
        <v/>
      </c>
    </row>
    <row r="398">
      <c r="A398" s="17" t="n"/>
      <c r="B398" s="17" t="n"/>
      <c r="C398" s="18" t="n"/>
      <c r="D398" s="19" t="n"/>
      <c r="E398" s="17" t="n"/>
      <c r="F398" s="21">
        <f>IF(OR(B398="",C398=""),"",IFERROR(INT(ROUND(IFERROR(TIMEVALUE(IF(LEN(C398)-LEN(SUBSTITUTE(C398,":",""))=2,"","0:")&amp;C398)*86400,"")/VALUE(SUBSTITUTE(B398,"K","")),0)/60)&amp;":"&amp;TEXT(MOD(ROUND(IFERROR(TIMEVALUE(IF(LEN(C398)-LEN(SUBSTITUTE(C398,":",""))=2,"","0:")&amp;C398)*86400,"")/VALUE(SUBSTITUTE(B398,"K","")),0),60),"00"),""))</f>
        <v/>
      </c>
      <c r="G398" s="21">
        <f>IF(A398="","",IF(COUNTIF(Atletas!$A$2:$A$302,A398)&gt;0,"Sí","No"))</f>
        <v/>
      </c>
    </row>
    <row r="399">
      <c r="A399" s="17" t="n"/>
      <c r="B399" s="17" t="n"/>
      <c r="C399" s="18" t="n"/>
      <c r="D399" s="19" t="n"/>
      <c r="E399" s="17" t="n"/>
      <c r="F399" s="21">
        <f>IF(OR(B399="",C399=""),"",IFERROR(INT(ROUND(IFERROR(TIMEVALUE(IF(LEN(C399)-LEN(SUBSTITUTE(C399,":",""))=2,"","0:")&amp;C399)*86400,"")/VALUE(SUBSTITUTE(B399,"K","")),0)/60)&amp;":"&amp;TEXT(MOD(ROUND(IFERROR(TIMEVALUE(IF(LEN(C399)-LEN(SUBSTITUTE(C399,":",""))=2,"","0:")&amp;C399)*86400,"")/VALUE(SUBSTITUTE(B399,"K","")),0),60),"00"),""))</f>
        <v/>
      </c>
      <c r="G399" s="21">
        <f>IF(A399="","",IF(COUNTIF(Atletas!$A$2:$A$302,A399)&gt;0,"Sí","No"))</f>
        <v/>
      </c>
    </row>
    <row r="400">
      <c r="A400" s="17" t="n"/>
      <c r="B400" s="17" t="n"/>
      <c r="C400" s="18" t="n"/>
      <c r="D400" s="19" t="n"/>
      <c r="E400" s="17" t="n"/>
      <c r="F400" s="21">
        <f>IF(OR(B400="",C400=""),"",IFERROR(INT(ROUND(IFERROR(TIMEVALUE(IF(LEN(C400)-LEN(SUBSTITUTE(C400,":",""))=2,"","0:")&amp;C400)*86400,"")/VALUE(SUBSTITUTE(B400,"K","")),0)/60)&amp;":"&amp;TEXT(MOD(ROUND(IFERROR(TIMEVALUE(IF(LEN(C400)-LEN(SUBSTITUTE(C400,":",""))=2,"","0:")&amp;C400)*86400,"")/VALUE(SUBSTITUTE(B400,"K","")),0),60),"00"),""))</f>
        <v/>
      </c>
      <c r="G400" s="21">
        <f>IF(A400="","",IF(COUNTIF(Atletas!$A$2:$A$302,A400)&gt;0,"Sí","No"))</f>
        <v/>
      </c>
    </row>
    <row r="401">
      <c r="A401" s="17" t="n"/>
      <c r="B401" s="17" t="n"/>
      <c r="C401" s="18" t="n"/>
      <c r="D401" s="19" t="n"/>
      <c r="E401" s="17" t="n"/>
      <c r="F401" s="21">
        <f>IF(OR(B401="",C401=""),"",IFERROR(INT(ROUND(IFERROR(TIMEVALUE(IF(LEN(C401)-LEN(SUBSTITUTE(C401,":",""))=2,"","0:")&amp;C401)*86400,"")/VALUE(SUBSTITUTE(B401,"K","")),0)/60)&amp;":"&amp;TEXT(MOD(ROUND(IFERROR(TIMEVALUE(IF(LEN(C401)-LEN(SUBSTITUTE(C401,":",""))=2,"","0:")&amp;C401)*86400,"")/VALUE(SUBSTITUTE(B401,"K","")),0),60),"00"),""))</f>
        <v/>
      </c>
      <c r="G401" s="21">
        <f>IF(A401="","",IF(COUNTIF(Atletas!$A$2:$A$302,A401)&gt;0,"Sí","No"))</f>
        <v/>
      </c>
    </row>
    <row r="402">
      <c r="A402" s="17" t="n"/>
      <c r="B402" s="17" t="n"/>
      <c r="C402" s="18" t="n"/>
      <c r="D402" s="19" t="n"/>
      <c r="E402" s="17" t="n"/>
      <c r="F402" s="21">
        <f>IF(OR(B402="",C402=""),"",IFERROR(INT(ROUND(IFERROR(TIMEVALUE(IF(LEN(C402)-LEN(SUBSTITUTE(C402,":",""))=2,"","0:")&amp;C402)*86400,"")/VALUE(SUBSTITUTE(B402,"K","")),0)/60)&amp;":"&amp;TEXT(MOD(ROUND(IFERROR(TIMEVALUE(IF(LEN(C402)-LEN(SUBSTITUTE(C402,":",""))=2,"","0:")&amp;C402)*86400,"")/VALUE(SUBSTITUTE(B402,"K","")),0),60),"00"),""))</f>
        <v/>
      </c>
      <c r="G402" s="21">
        <f>IF(A402="","",IF(COUNTIF(Atletas!$A$2:$A$302,A402)&gt;0,"Sí","No"))</f>
        <v/>
      </c>
    </row>
    <row r="403">
      <c r="A403" s="17" t="n"/>
      <c r="B403" s="17" t="n"/>
      <c r="C403" s="18" t="n"/>
      <c r="D403" s="19" t="n"/>
      <c r="E403" s="17" t="n"/>
      <c r="F403" s="21">
        <f>IF(OR(B403="",C403=""),"",IFERROR(INT(ROUND(IFERROR(TIMEVALUE(IF(LEN(C403)-LEN(SUBSTITUTE(C403,":",""))=2,"","0:")&amp;C403)*86400,"")/VALUE(SUBSTITUTE(B403,"K","")),0)/60)&amp;":"&amp;TEXT(MOD(ROUND(IFERROR(TIMEVALUE(IF(LEN(C403)-LEN(SUBSTITUTE(C403,":",""))=2,"","0:")&amp;C403)*86400,"")/VALUE(SUBSTITUTE(B403,"K","")),0),60),"00"),""))</f>
        <v/>
      </c>
      <c r="G403" s="21">
        <f>IF(A403="","",IF(COUNTIF(Atletas!$A$2:$A$302,A403)&gt;0,"Sí","No"))</f>
        <v/>
      </c>
    </row>
    <row r="404">
      <c r="A404" s="17" t="n"/>
      <c r="B404" s="17" t="n"/>
      <c r="C404" s="18" t="n"/>
      <c r="D404" s="19" t="n"/>
      <c r="E404" s="17" t="n"/>
      <c r="F404" s="21">
        <f>IF(OR(B404="",C404=""),"",IFERROR(INT(ROUND(IFERROR(TIMEVALUE(IF(LEN(C404)-LEN(SUBSTITUTE(C404,":",""))=2,"","0:")&amp;C404)*86400,"")/VALUE(SUBSTITUTE(B404,"K","")),0)/60)&amp;":"&amp;TEXT(MOD(ROUND(IFERROR(TIMEVALUE(IF(LEN(C404)-LEN(SUBSTITUTE(C404,":",""))=2,"","0:")&amp;C404)*86400,"")/VALUE(SUBSTITUTE(B404,"K","")),0),60),"00"),""))</f>
        <v/>
      </c>
      <c r="G404" s="21">
        <f>IF(A404="","",IF(COUNTIF(Atletas!$A$2:$A$302,A404)&gt;0,"Sí","No"))</f>
        <v/>
      </c>
    </row>
    <row r="405">
      <c r="A405" s="17" t="n"/>
      <c r="B405" s="17" t="n"/>
      <c r="C405" s="18" t="n"/>
      <c r="D405" s="19" t="n"/>
      <c r="E405" s="17" t="n"/>
      <c r="F405" s="21">
        <f>IF(OR(B405="",C405=""),"",IFERROR(INT(ROUND(IFERROR(TIMEVALUE(IF(LEN(C405)-LEN(SUBSTITUTE(C405,":",""))=2,"","0:")&amp;C405)*86400,"")/VALUE(SUBSTITUTE(B405,"K","")),0)/60)&amp;":"&amp;TEXT(MOD(ROUND(IFERROR(TIMEVALUE(IF(LEN(C405)-LEN(SUBSTITUTE(C405,":",""))=2,"","0:")&amp;C405)*86400,"")/VALUE(SUBSTITUTE(B405,"K","")),0),60),"00"),""))</f>
        <v/>
      </c>
      <c r="G405" s="21">
        <f>IF(A405="","",IF(COUNTIF(Atletas!$A$2:$A$302,A405)&gt;0,"Sí","No"))</f>
        <v/>
      </c>
    </row>
    <row r="406">
      <c r="A406" s="17" t="n"/>
      <c r="B406" s="17" t="n"/>
      <c r="C406" s="18" t="n"/>
      <c r="D406" s="19" t="n"/>
      <c r="E406" s="17" t="n"/>
      <c r="F406" s="21">
        <f>IF(OR(B406="",C406=""),"",IFERROR(INT(ROUND(IFERROR(TIMEVALUE(IF(LEN(C406)-LEN(SUBSTITUTE(C406,":",""))=2,"","0:")&amp;C406)*86400,"")/VALUE(SUBSTITUTE(B406,"K","")),0)/60)&amp;":"&amp;TEXT(MOD(ROUND(IFERROR(TIMEVALUE(IF(LEN(C406)-LEN(SUBSTITUTE(C406,":",""))=2,"","0:")&amp;C406)*86400,"")/VALUE(SUBSTITUTE(B406,"K","")),0),60),"00"),""))</f>
        <v/>
      </c>
      <c r="G406" s="21">
        <f>IF(A406="","",IF(COUNTIF(Atletas!$A$2:$A$302,A406)&gt;0,"Sí","No"))</f>
        <v/>
      </c>
    </row>
    <row r="407">
      <c r="A407" s="17" t="n"/>
      <c r="B407" s="17" t="n"/>
      <c r="C407" s="18" t="n"/>
      <c r="D407" s="19" t="n"/>
      <c r="E407" s="17" t="n"/>
      <c r="F407" s="21">
        <f>IF(OR(B407="",C407=""),"",IFERROR(INT(ROUND(IFERROR(TIMEVALUE(IF(LEN(C407)-LEN(SUBSTITUTE(C407,":",""))=2,"","0:")&amp;C407)*86400,"")/VALUE(SUBSTITUTE(B407,"K","")),0)/60)&amp;":"&amp;TEXT(MOD(ROUND(IFERROR(TIMEVALUE(IF(LEN(C407)-LEN(SUBSTITUTE(C407,":",""))=2,"","0:")&amp;C407)*86400,"")/VALUE(SUBSTITUTE(B407,"K","")),0),60),"00"),""))</f>
        <v/>
      </c>
      <c r="G407" s="21">
        <f>IF(A407="","",IF(COUNTIF(Atletas!$A$2:$A$302,A407)&gt;0,"Sí","No"))</f>
        <v/>
      </c>
    </row>
    <row r="408">
      <c r="A408" s="17" t="n"/>
      <c r="B408" s="17" t="n"/>
      <c r="C408" s="18" t="n"/>
      <c r="D408" s="19" t="n"/>
      <c r="E408" s="17" t="n"/>
      <c r="F408" s="21">
        <f>IF(OR(B408="",C408=""),"",IFERROR(INT(ROUND(IFERROR(TIMEVALUE(IF(LEN(C408)-LEN(SUBSTITUTE(C408,":",""))=2,"","0:")&amp;C408)*86400,"")/VALUE(SUBSTITUTE(B408,"K","")),0)/60)&amp;":"&amp;TEXT(MOD(ROUND(IFERROR(TIMEVALUE(IF(LEN(C408)-LEN(SUBSTITUTE(C408,":",""))=2,"","0:")&amp;C408)*86400,"")/VALUE(SUBSTITUTE(B408,"K","")),0),60),"00"),""))</f>
        <v/>
      </c>
      <c r="G408" s="21">
        <f>IF(A408="","",IF(COUNTIF(Atletas!$A$2:$A$302,A408)&gt;0,"Sí","No"))</f>
        <v/>
      </c>
    </row>
    <row r="409">
      <c r="A409" s="17" t="n"/>
      <c r="B409" s="17" t="n"/>
      <c r="C409" s="18" t="n"/>
      <c r="D409" s="19" t="n"/>
      <c r="E409" s="17" t="n"/>
      <c r="F409" s="21">
        <f>IF(OR(B409="",C409=""),"",IFERROR(INT(ROUND(IFERROR(TIMEVALUE(IF(LEN(C409)-LEN(SUBSTITUTE(C409,":",""))=2,"","0:")&amp;C409)*86400,"")/VALUE(SUBSTITUTE(B409,"K","")),0)/60)&amp;":"&amp;TEXT(MOD(ROUND(IFERROR(TIMEVALUE(IF(LEN(C409)-LEN(SUBSTITUTE(C409,":",""))=2,"","0:")&amp;C409)*86400,"")/VALUE(SUBSTITUTE(B409,"K","")),0),60),"00"),""))</f>
        <v/>
      </c>
      <c r="G409" s="21">
        <f>IF(A409="","",IF(COUNTIF(Atletas!$A$2:$A$302,A409)&gt;0,"Sí","No"))</f>
        <v/>
      </c>
    </row>
    <row r="410">
      <c r="A410" s="17" t="n"/>
      <c r="B410" s="17" t="n"/>
      <c r="C410" s="18" t="n"/>
      <c r="D410" s="19" t="n"/>
      <c r="E410" s="17" t="n"/>
      <c r="F410" s="21">
        <f>IF(OR(B410="",C410=""),"",IFERROR(INT(ROUND(IFERROR(TIMEVALUE(IF(LEN(C410)-LEN(SUBSTITUTE(C410,":",""))=2,"","0:")&amp;C410)*86400,"")/VALUE(SUBSTITUTE(B410,"K","")),0)/60)&amp;":"&amp;TEXT(MOD(ROUND(IFERROR(TIMEVALUE(IF(LEN(C410)-LEN(SUBSTITUTE(C410,":",""))=2,"","0:")&amp;C410)*86400,"")/VALUE(SUBSTITUTE(B410,"K","")),0),60),"00"),""))</f>
        <v/>
      </c>
      <c r="G410" s="21">
        <f>IF(A410="","",IF(COUNTIF(Atletas!$A$2:$A$302,A410)&gt;0,"Sí","No"))</f>
        <v/>
      </c>
    </row>
    <row r="411">
      <c r="A411" s="17" t="n"/>
      <c r="B411" s="17" t="n"/>
      <c r="C411" s="18" t="n"/>
      <c r="D411" s="19" t="n"/>
      <c r="E411" s="17" t="n"/>
      <c r="F411" s="21">
        <f>IF(OR(B411="",C411=""),"",IFERROR(INT(ROUND(IFERROR(TIMEVALUE(IF(LEN(C411)-LEN(SUBSTITUTE(C411,":",""))=2,"","0:")&amp;C411)*86400,"")/VALUE(SUBSTITUTE(B411,"K","")),0)/60)&amp;":"&amp;TEXT(MOD(ROUND(IFERROR(TIMEVALUE(IF(LEN(C411)-LEN(SUBSTITUTE(C411,":",""))=2,"","0:")&amp;C411)*86400,"")/VALUE(SUBSTITUTE(B411,"K","")),0),60),"00"),""))</f>
        <v/>
      </c>
      <c r="G411" s="21">
        <f>IF(A411="","",IF(COUNTIF(Atletas!$A$2:$A$302,A411)&gt;0,"Sí","No"))</f>
        <v/>
      </c>
    </row>
    <row r="412">
      <c r="A412" s="17" t="n"/>
      <c r="B412" s="17" t="n"/>
      <c r="C412" s="18" t="n"/>
      <c r="D412" s="19" t="n"/>
      <c r="E412" s="17" t="n"/>
      <c r="F412" s="21">
        <f>IF(OR(B412="",C412=""),"",IFERROR(INT(ROUND(IFERROR(TIMEVALUE(IF(LEN(C412)-LEN(SUBSTITUTE(C412,":",""))=2,"","0:")&amp;C412)*86400,"")/VALUE(SUBSTITUTE(B412,"K","")),0)/60)&amp;":"&amp;TEXT(MOD(ROUND(IFERROR(TIMEVALUE(IF(LEN(C412)-LEN(SUBSTITUTE(C412,":",""))=2,"","0:")&amp;C412)*86400,"")/VALUE(SUBSTITUTE(B412,"K","")),0),60),"00"),""))</f>
        <v/>
      </c>
      <c r="G412" s="21">
        <f>IF(A412="","",IF(COUNTIF(Atletas!$A$2:$A$302,A412)&gt;0,"Sí","No"))</f>
        <v/>
      </c>
    </row>
    <row r="413">
      <c r="A413" s="17" t="n"/>
      <c r="B413" s="17" t="n"/>
      <c r="C413" s="18" t="n"/>
      <c r="D413" s="19" t="n"/>
      <c r="E413" s="17" t="n"/>
      <c r="F413" s="21">
        <f>IF(OR(B413="",C413=""),"",IFERROR(INT(ROUND(IFERROR(TIMEVALUE(IF(LEN(C413)-LEN(SUBSTITUTE(C413,":",""))=2,"","0:")&amp;C413)*86400,"")/VALUE(SUBSTITUTE(B413,"K","")),0)/60)&amp;":"&amp;TEXT(MOD(ROUND(IFERROR(TIMEVALUE(IF(LEN(C413)-LEN(SUBSTITUTE(C413,":",""))=2,"","0:")&amp;C413)*86400,"")/VALUE(SUBSTITUTE(B413,"K","")),0),60),"00"),""))</f>
        <v/>
      </c>
      <c r="G413" s="21">
        <f>IF(A413="","",IF(COUNTIF(Atletas!$A$2:$A$302,A413)&gt;0,"Sí","No"))</f>
        <v/>
      </c>
    </row>
    <row r="414">
      <c r="A414" s="17" t="n"/>
      <c r="B414" s="17" t="n"/>
      <c r="C414" s="18" t="n"/>
      <c r="D414" s="19" t="n"/>
      <c r="E414" s="17" t="n"/>
      <c r="F414" s="21">
        <f>IF(OR(B414="",C414=""),"",IFERROR(INT(ROUND(IFERROR(TIMEVALUE(IF(LEN(C414)-LEN(SUBSTITUTE(C414,":",""))=2,"","0:")&amp;C414)*86400,"")/VALUE(SUBSTITUTE(B414,"K","")),0)/60)&amp;":"&amp;TEXT(MOD(ROUND(IFERROR(TIMEVALUE(IF(LEN(C414)-LEN(SUBSTITUTE(C414,":",""))=2,"","0:")&amp;C414)*86400,"")/VALUE(SUBSTITUTE(B414,"K","")),0),60),"00"),""))</f>
        <v/>
      </c>
      <c r="G414" s="21">
        <f>IF(A414="","",IF(COUNTIF(Atletas!$A$2:$A$302,A414)&gt;0,"Sí","No"))</f>
        <v/>
      </c>
    </row>
    <row r="415">
      <c r="A415" s="17" t="n"/>
      <c r="B415" s="17" t="n"/>
      <c r="C415" s="18" t="n"/>
      <c r="D415" s="19" t="n"/>
      <c r="E415" s="17" t="n"/>
      <c r="F415" s="21">
        <f>IF(OR(B415="",C415=""),"",IFERROR(INT(ROUND(IFERROR(TIMEVALUE(IF(LEN(C415)-LEN(SUBSTITUTE(C415,":",""))=2,"","0:")&amp;C415)*86400,"")/VALUE(SUBSTITUTE(B415,"K","")),0)/60)&amp;":"&amp;TEXT(MOD(ROUND(IFERROR(TIMEVALUE(IF(LEN(C415)-LEN(SUBSTITUTE(C415,":",""))=2,"","0:")&amp;C415)*86400,"")/VALUE(SUBSTITUTE(B415,"K","")),0),60),"00"),""))</f>
        <v/>
      </c>
      <c r="G415" s="21">
        <f>IF(A415="","",IF(COUNTIF(Atletas!$A$2:$A$302,A415)&gt;0,"Sí","No"))</f>
        <v/>
      </c>
    </row>
    <row r="416">
      <c r="A416" s="17" t="n"/>
      <c r="B416" s="17" t="n"/>
      <c r="C416" s="18" t="n"/>
      <c r="D416" s="19" t="n"/>
      <c r="E416" s="17" t="n"/>
      <c r="F416" s="21">
        <f>IF(OR(B416="",C416=""),"",IFERROR(INT(ROUND(IFERROR(TIMEVALUE(IF(LEN(C416)-LEN(SUBSTITUTE(C416,":",""))=2,"","0:")&amp;C416)*86400,"")/VALUE(SUBSTITUTE(B416,"K","")),0)/60)&amp;":"&amp;TEXT(MOD(ROUND(IFERROR(TIMEVALUE(IF(LEN(C416)-LEN(SUBSTITUTE(C416,":",""))=2,"","0:")&amp;C416)*86400,"")/VALUE(SUBSTITUTE(B416,"K","")),0),60),"00"),""))</f>
        <v/>
      </c>
      <c r="G416" s="21">
        <f>IF(A416="","",IF(COUNTIF(Atletas!$A$2:$A$302,A416)&gt;0,"Sí","No"))</f>
        <v/>
      </c>
    </row>
    <row r="417">
      <c r="A417" s="17" t="n"/>
      <c r="B417" s="17" t="n"/>
      <c r="C417" s="18" t="n"/>
      <c r="D417" s="19" t="n"/>
      <c r="E417" s="17" t="n"/>
      <c r="F417" s="21">
        <f>IF(OR(B417="",C417=""),"",IFERROR(INT(ROUND(IFERROR(TIMEVALUE(IF(LEN(C417)-LEN(SUBSTITUTE(C417,":",""))=2,"","0:")&amp;C417)*86400,"")/VALUE(SUBSTITUTE(B417,"K","")),0)/60)&amp;":"&amp;TEXT(MOD(ROUND(IFERROR(TIMEVALUE(IF(LEN(C417)-LEN(SUBSTITUTE(C417,":",""))=2,"","0:")&amp;C417)*86400,"")/VALUE(SUBSTITUTE(B417,"K","")),0),60),"00"),""))</f>
        <v/>
      </c>
      <c r="G417" s="21">
        <f>IF(A417="","",IF(COUNTIF(Atletas!$A$2:$A$302,A417)&gt;0,"Sí","No"))</f>
        <v/>
      </c>
    </row>
    <row r="418">
      <c r="A418" s="17" t="n"/>
      <c r="B418" s="17" t="n"/>
      <c r="C418" s="18" t="n"/>
      <c r="D418" s="19" t="n"/>
      <c r="E418" s="17" t="n"/>
      <c r="F418" s="21">
        <f>IF(OR(B418="",C418=""),"",IFERROR(INT(ROUND(IFERROR(TIMEVALUE(IF(LEN(C418)-LEN(SUBSTITUTE(C418,":",""))=2,"","0:")&amp;C418)*86400,"")/VALUE(SUBSTITUTE(B418,"K","")),0)/60)&amp;":"&amp;TEXT(MOD(ROUND(IFERROR(TIMEVALUE(IF(LEN(C418)-LEN(SUBSTITUTE(C418,":",""))=2,"","0:")&amp;C418)*86400,"")/VALUE(SUBSTITUTE(B418,"K","")),0),60),"00"),""))</f>
        <v/>
      </c>
      <c r="G418" s="21">
        <f>IF(A418="","",IF(COUNTIF(Atletas!$A$2:$A$302,A418)&gt;0,"Sí","No"))</f>
        <v/>
      </c>
    </row>
    <row r="419">
      <c r="A419" s="17" t="n"/>
      <c r="B419" s="17" t="n"/>
      <c r="C419" s="18" t="n"/>
      <c r="D419" s="19" t="n"/>
      <c r="E419" s="17" t="n"/>
      <c r="F419" s="21">
        <f>IF(OR(B419="",C419=""),"",IFERROR(INT(ROUND(IFERROR(TIMEVALUE(IF(LEN(C419)-LEN(SUBSTITUTE(C419,":",""))=2,"","0:")&amp;C419)*86400,"")/VALUE(SUBSTITUTE(B419,"K","")),0)/60)&amp;":"&amp;TEXT(MOD(ROUND(IFERROR(TIMEVALUE(IF(LEN(C419)-LEN(SUBSTITUTE(C419,":",""))=2,"","0:")&amp;C419)*86400,"")/VALUE(SUBSTITUTE(B419,"K","")),0),60),"00"),""))</f>
        <v/>
      </c>
      <c r="G419" s="21">
        <f>IF(A419="","",IF(COUNTIF(Atletas!$A$2:$A$302,A419)&gt;0,"Sí","No"))</f>
        <v/>
      </c>
    </row>
    <row r="420">
      <c r="A420" s="17" t="n"/>
      <c r="B420" s="17" t="n"/>
      <c r="C420" s="18" t="n"/>
      <c r="D420" s="19" t="n"/>
      <c r="E420" s="17" t="n"/>
      <c r="F420" s="21">
        <f>IF(OR(B420="",C420=""),"",IFERROR(INT(ROUND(IFERROR(TIMEVALUE(IF(LEN(C420)-LEN(SUBSTITUTE(C420,":",""))=2,"","0:")&amp;C420)*86400,"")/VALUE(SUBSTITUTE(B420,"K","")),0)/60)&amp;":"&amp;TEXT(MOD(ROUND(IFERROR(TIMEVALUE(IF(LEN(C420)-LEN(SUBSTITUTE(C420,":",""))=2,"","0:")&amp;C420)*86400,"")/VALUE(SUBSTITUTE(B420,"K","")),0),60),"00"),""))</f>
        <v/>
      </c>
      <c r="G420" s="21">
        <f>IF(A420="","",IF(COUNTIF(Atletas!$A$2:$A$302,A420)&gt;0,"Sí","No"))</f>
        <v/>
      </c>
    </row>
    <row r="421">
      <c r="A421" s="17" t="n"/>
      <c r="B421" s="17" t="n"/>
      <c r="C421" s="18" t="n"/>
      <c r="D421" s="19" t="n"/>
      <c r="E421" s="17" t="n"/>
      <c r="F421" s="21">
        <f>IF(OR(B421="",C421=""),"",IFERROR(INT(ROUND(IFERROR(TIMEVALUE(IF(LEN(C421)-LEN(SUBSTITUTE(C421,":",""))=2,"","0:")&amp;C421)*86400,"")/VALUE(SUBSTITUTE(B421,"K","")),0)/60)&amp;":"&amp;TEXT(MOD(ROUND(IFERROR(TIMEVALUE(IF(LEN(C421)-LEN(SUBSTITUTE(C421,":",""))=2,"","0:")&amp;C421)*86400,"")/VALUE(SUBSTITUTE(B421,"K","")),0),60),"00"),""))</f>
        <v/>
      </c>
      <c r="G421" s="21">
        <f>IF(A421="","",IF(COUNTIF(Atletas!$A$2:$A$302,A421)&gt;0,"Sí","No"))</f>
        <v/>
      </c>
    </row>
    <row r="422">
      <c r="A422" s="17" t="n"/>
      <c r="B422" s="17" t="n"/>
      <c r="C422" s="18" t="n"/>
      <c r="D422" s="19" t="n"/>
      <c r="E422" s="17" t="n"/>
      <c r="F422" s="21">
        <f>IF(OR(B422="",C422=""),"",IFERROR(INT(ROUND(IFERROR(TIMEVALUE(IF(LEN(C422)-LEN(SUBSTITUTE(C422,":",""))=2,"","0:")&amp;C422)*86400,"")/VALUE(SUBSTITUTE(B422,"K","")),0)/60)&amp;":"&amp;TEXT(MOD(ROUND(IFERROR(TIMEVALUE(IF(LEN(C422)-LEN(SUBSTITUTE(C422,":",""))=2,"","0:")&amp;C422)*86400,"")/VALUE(SUBSTITUTE(B422,"K","")),0),60),"00"),""))</f>
        <v/>
      </c>
      <c r="G422" s="21">
        <f>IF(A422="","",IF(COUNTIF(Atletas!$A$2:$A$302,A422)&gt;0,"Sí","No"))</f>
        <v/>
      </c>
    </row>
    <row r="423">
      <c r="A423" s="17" t="n"/>
      <c r="B423" s="17" t="n"/>
      <c r="C423" s="18" t="n"/>
      <c r="D423" s="19" t="n"/>
      <c r="E423" s="17" t="n"/>
      <c r="F423" s="21">
        <f>IF(OR(B423="",C423=""),"",IFERROR(INT(ROUND(IFERROR(TIMEVALUE(IF(LEN(C423)-LEN(SUBSTITUTE(C423,":",""))=2,"","0:")&amp;C423)*86400,"")/VALUE(SUBSTITUTE(B423,"K","")),0)/60)&amp;":"&amp;TEXT(MOD(ROUND(IFERROR(TIMEVALUE(IF(LEN(C423)-LEN(SUBSTITUTE(C423,":",""))=2,"","0:")&amp;C423)*86400,"")/VALUE(SUBSTITUTE(B423,"K","")),0),60),"00"),""))</f>
        <v/>
      </c>
      <c r="G423" s="21">
        <f>IF(A423="","",IF(COUNTIF(Atletas!$A$2:$A$302,A423)&gt;0,"Sí","No"))</f>
        <v/>
      </c>
    </row>
    <row r="424">
      <c r="A424" s="17" t="n"/>
      <c r="B424" s="17" t="n"/>
      <c r="C424" s="18" t="n"/>
      <c r="D424" s="19" t="n"/>
      <c r="E424" s="17" t="n"/>
      <c r="F424" s="21">
        <f>IF(OR(B424="",C424=""),"",IFERROR(INT(ROUND(IFERROR(TIMEVALUE(IF(LEN(C424)-LEN(SUBSTITUTE(C424,":",""))=2,"","0:")&amp;C424)*86400,"")/VALUE(SUBSTITUTE(B424,"K","")),0)/60)&amp;":"&amp;TEXT(MOD(ROUND(IFERROR(TIMEVALUE(IF(LEN(C424)-LEN(SUBSTITUTE(C424,":",""))=2,"","0:")&amp;C424)*86400,"")/VALUE(SUBSTITUTE(B424,"K","")),0),60),"00"),""))</f>
        <v/>
      </c>
      <c r="G424" s="21">
        <f>IF(A424="","",IF(COUNTIF(Atletas!$A$2:$A$302,A424)&gt;0,"Sí","No"))</f>
        <v/>
      </c>
    </row>
    <row r="425">
      <c r="A425" s="17" t="n"/>
      <c r="B425" s="17" t="n"/>
      <c r="C425" s="18" t="n"/>
      <c r="D425" s="19" t="n"/>
      <c r="E425" s="17" t="n"/>
      <c r="F425" s="21">
        <f>IF(OR(B425="",C425=""),"",IFERROR(INT(ROUND(IFERROR(TIMEVALUE(IF(LEN(C425)-LEN(SUBSTITUTE(C425,":",""))=2,"","0:")&amp;C425)*86400,"")/VALUE(SUBSTITUTE(B425,"K","")),0)/60)&amp;":"&amp;TEXT(MOD(ROUND(IFERROR(TIMEVALUE(IF(LEN(C425)-LEN(SUBSTITUTE(C425,":",""))=2,"","0:")&amp;C425)*86400,"")/VALUE(SUBSTITUTE(B425,"K","")),0),60),"00"),""))</f>
        <v/>
      </c>
      <c r="G425" s="21">
        <f>IF(A425="","",IF(COUNTIF(Atletas!$A$2:$A$302,A425)&gt;0,"Sí","No"))</f>
        <v/>
      </c>
    </row>
    <row r="426">
      <c r="A426" s="17" t="n"/>
      <c r="B426" s="17" t="n"/>
      <c r="C426" s="18" t="n"/>
      <c r="D426" s="19" t="n"/>
      <c r="E426" s="17" t="n"/>
      <c r="F426" s="21">
        <f>IF(OR(B426="",C426=""),"",IFERROR(INT(ROUND(IFERROR(TIMEVALUE(IF(LEN(C426)-LEN(SUBSTITUTE(C426,":",""))=2,"","0:")&amp;C426)*86400,"")/VALUE(SUBSTITUTE(B426,"K","")),0)/60)&amp;":"&amp;TEXT(MOD(ROUND(IFERROR(TIMEVALUE(IF(LEN(C426)-LEN(SUBSTITUTE(C426,":",""))=2,"","0:")&amp;C426)*86400,"")/VALUE(SUBSTITUTE(B426,"K","")),0),60),"00"),""))</f>
        <v/>
      </c>
      <c r="G426" s="21">
        <f>IF(A426="","",IF(COUNTIF(Atletas!$A$2:$A$302,A426)&gt;0,"Sí","No"))</f>
        <v/>
      </c>
    </row>
    <row r="427">
      <c r="A427" s="17" t="n"/>
      <c r="B427" s="17" t="n"/>
      <c r="C427" s="18" t="n"/>
      <c r="D427" s="19" t="n"/>
      <c r="E427" s="17" t="n"/>
      <c r="F427" s="21">
        <f>IF(OR(B427="",C427=""),"",IFERROR(INT(ROUND(IFERROR(TIMEVALUE(IF(LEN(C427)-LEN(SUBSTITUTE(C427,":",""))=2,"","0:")&amp;C427)*86400,"")/VALUE(SUBSTITUTE(B427,"K","")),0)/60)&amp;":"&amp;TEXT(MOD(ROUND(IFERROR(TIMEVALUE(IF(LEN(C427)-LEN(SUBSTITUTE(C427,":",""))=2,"","0:")&amp;C427)*86400,"")/VALUE(SUBSTITUTE(B427,"K","")),0),60),"00"),""))</f>
        <v/>
      </c>
      <c r="G427" s="21">
        <f>IF(A427="","",IF(COUNTIF(Atletas!$A$2:$A$302,A427)&gt;0,"Sí","No"))</f>
        <v/>
      </c>
    </row>
    <row r="428">
      <c r="A428" s="17" t="n"/>
      <c r="B428" s="17" t="n"/>
      <c r="C428" s="18" t="n"/>
      <c r="D428" s="19" t="n"/>
      <c r="E428" s="17" t="n"/>
      <c r="F428" s="21">
        <f>IF(OR(B428="",C428=""),"",IFERROR(INT(ROUND(IFERROR(TIMEVALUE(IF(LEN(C428)-LEN(SUBSTITUTE(C428,":",""))=2,"","0:")&amp;C428)*86400,"")/VALUE(SUBSTITUTE(B428,"K","")),0)/60)&amp;":"&amp;TEXT(MOD(ROUND(IFERROR(TIMEVALUE(IF(LEN(C428)-LEN(SUBSTITUTE(C428,":",""))=2,"","0:")&amp;C428)*86400,"")/VALUE(SUBSTITUTE(B428,"K","")),0),60),"00"),""))</f>
        <v/>
      </c>
      <c r="G428" s="21">
        <f>IF(A428="","",IF(COUNTIF(Atletas!$A$2:$A$302,A428)&gt;0,"Sí","No"))</f>
        <v/>
      </c>
    </row>
    <row r="429">
      <c r="A429" s="17" t="n"/>
      <c r="B429" s="17" t="n"/>
      <c r="C429" s="18" t="n"/>
      <c r="D429" s="19" t="n"/>
      <c r="E429" s="17" t="n"/>
      <c r="F429" s="21">
        <f>IF(OR(B429="",C429=""),"",IFERROR(INT(ROUND(IFERROR(TIMEVALUE(IF(LEN(C429)-LEN(SUBSTITUTE(C429,":",""))=2,"","0:")&amp;C429)*86400,"")/VALUE(SUBSTITUTE(B429,"K","")),0)/60)&amp;":"&amp;TEXT(MOD(ROUND(IFERROR(TIMEVALUE(IF(LEN(C429)-LEN(SUBSTITUTE(C429,":",""))=2,"","0:")&amp;C429)*86400,"")/VALUE(SUBSTITUTE(B429,"K","")),0),60),"00"),""))</f>
        <v/>
      </c>
      <c r="G429" s="21">
        <f>IF(A429="","",IF(COUNTIF(Atletas!$A$2:$A$302,A429)&gt;0,"Sí","No"))</f>
        <v/>
      </c>
    </row>
    <row r="430">
      <c r="A430" s="17" t="n"/>
      <c r="B430" s="17" t="n"/>
      <c r="C430" s="18" t="n"/>
      <c r="D430" s="19" t="n"/>
      <c r="E430" s="17" t="n"/>
      <c r="F430" s="21">
        <f>IF(OR(B430="",C430=""),"",IFERROR(INT(ROUND(IFERROR(TIMEVALUE(IF(LEN(C430)-LEN(SUBSTITUTE(C430,":",""))=2,"","0:")&amp;C430)*86400,"")/VALUE(SUBSTITUTE(B430,"K","")),0)/60)&amp;":"&amp;TEXT(MOD(ROUND(IFERROR(TIMEVALUE(IF(LEN(C430)-LEN(SUBSTITUTE(C430,":",""))=2,"","0:")&amp;C430)*86400,"")/VALUE(SUBSTITUTE(B430,"K","")),0),60),"00"),""))</f>
        <v/>
      </c>
      <c r="G430" s="21">
        <f>IF(A430="","",IF(COUNTIF(Atletas!$A$2:$A$302,A430)&gt;0,"Sí","No"))</f>
        <v/>
      </c>
    </row>
    <row r="431">
      <c r="A431" s="17" t="n"/>
      <c r="B431" s="17" t="n"/>
      <c r="C431" s="18" t="n"/>
      <c r="D431" s="19" t="n"/>
      <c r="E431" s="17" t="n"/>
      <c r="F431" s="21">
        <f>IF(OR(B431="",C431=""),"",IFERROR(INT(ROUND(IFERROR(TIMEVALUE(IF(LEN(C431)-LEN(SUBSTITUTE(C431,":",""))=2,"","0:")&amp;C431)*86400,"")/VALUE(SUBSTITUTE(B431,"K","")),0)/60)&amp;":"&amp;TEXT(MOD(ROUND(IFERROR(TIMEVALUE(IF(LEN(C431)-LEN(SUBSTITUTE(C431,":",""))=2,"","0:")&amp;C431)*86400,"")/VALUE(SUBSTITUTE(B431,"K","")),0),60),"00"),""))</f>
        <v/>
      </c>
      <c r="G431" s="21">
        <f>IF(A431="","",IF(COUNTIF(Atletas!$A$2:$A$302,A431)&gt;0,"Sí","No"))</f>
        <v/>
      </c>
    </row>
    <row r="432">
      <c r="A432" s="17" t="n"/>
      <c r="B432" s="17" t="n"/>
      <c r="C432" s="18" t="n"/>
      <c r="D432" s="19" t="n"/>
      <c r="E432" s="17" t="n"/>
      <c r="F432" s="21">
        <f>IF(OR(B432="",C432=""),"",IFERROR(INT(ROUND(IFERROR(TIMEVALUE(IF(LEN(C432)-LEN(SUBSTITUTE(C432,":",""))=2,"","0:")&amp;C432)*86400,"")/VALUE(SUBSTITUTE(B432,"K","")),0)/60)&amp;":"&amp;TEXT(MOD(ROUND(IFERROR(TIMEVALUE(IF(LEN(C432)-LEN(SUBSTITUTE(C432,":",""))=2,"","0:")&amp;C432)*86400,"")/VALUE(SUBSTITUTE(B432,"K","")),0),60),"00"),""))</f>
        <v/>
      </c>
      <c r="G432" s="21">
        <f>IF(A432="","",IF(COUNTIF(Atletas!$A$2:$A$302,A432)&gt;0,"Sí","No"))</f>
        <v/>
      </c>
    </row>
    <row r="433">
      <c r="A433" s="17" t="n"/>
      <c r="B433" s="17" t="n"/>
      <c r="C433" s="18" t="n"/>
      <c r="D433" s="19" t="n"/>
      <c r="E433" s="17" t="n"/>
      <c r="F433" s="21">
        <f>IF(OR(B433="",C433=""),"",IFERROR(INT(ROUND(IFERROR(TIMEVALUE(IF(LEN(C433)-LEN(SUBSTITUTE(C433,":",""))=2,"","0:")&amp;C433)*86400,"")/VALUE(SUBSTITUTE(B433,"K","")),0)/60)&amp;":"&amp;TEXT(MOD(ROUND(IFERROR(TIMEVALUE(IF(LEN(C433)-LEN(SUBSTITUTE(C433,":",""))=2,"","0:")&amp;C433)*86400,"")/VALUE(SUBSTITUTE(B433,"K","")),0),60),"00"),""))</f>
        <v/>
      </c>
      <c r="G433" s="21">
        <f>IF(A433="","",IF(COUNTIF(Atletas!$A$2:$A$302,A433)&gt;0,"Sí","No"))</f>
        <v/>
      </c>
    </row>
    <row r="434">
      <c r="A434" s="17" t="n"/>
      <c r="B434" s="17" t="n"/>
      <c r="C434" s="18" t="n"/>
      <c r="D434" s="19" t="n"/>
      <c r="E434" s="17" t="n"/>
      <c r="F434" s="21">
        <f>IF(OR(B434="",C434=""),"",IFERROR(INT(ROUND(IFERROR(TIMEVALUE(IF(LEN(C434)-LEN(SUBSTITUTE(C434,":",""))=2,"","0:")&amp;C434)*86400,"")/VALUE(SUBSTITUTE(B434,"K","")),0)/60)&amp;":"&amp;TEXT(MOD(ROUND(IFERROR(TIMEVALUE(IF(LEN(C434)-LEN(SUBSTITUTE(C434,":",""))=2,"","0:")&amp;C434)*86400,"")/VALUE(SUBSTITUTE(B434,"K","")),0),60),"00"),""))</f>
        <v/>
      </c>
      <c r="G434" s="21">
        <f>IF(A434="","",IF(COUNTIF(Atletas!$A$2:$A$302,A434)&gt;0,"Sí","No"))</f>
        <v/>
      </c>
    </row>
    <row r="435">
      <c r="A435" s="17" t="n"/>
      <c r="B435" s="17" t="n"/>
      <c r="C435" s="18" t="n"/>
      <c r="D435" s="19" t="n"/>
      <c r="E435" s="17" t="n"/>
      <c r="F435" s="21">
        <f>IF(OR(B435="",C435=""),"",IFERROR(INT(ROUND(IFERROR(TIMEVALUE(IF(LEN(C435)-LEN(SUBSTITUTE(C435,":",""))=2,"","0:")&amp;C435)*86400,"")/VALUE(SUBSTITUTE(B435,"K","")),0)/60)&amp;":"&amp;TEXT(MOD(ROUND(IFERROR(TIMEVALUE(IF(LEN(C435)-LEN(SUBSTITUTE(C435,":",""))=2,"","0:")&amp;C435)*86400,"")/VALUE(SUBSTITUTE(B435,"K","")),0),60),"00"),""))</f>
        <v/>
      </c>
      <c r="G435" s="21">
        <f>IF(A435="","",IF(COUNTIF(Atletas!$A$2:$A$302,A435)&gt;0,"Sí","No"))</f>
        <v/>
      </c>
    </row>
    <row r="436">
      <c r="A436" s="17" t="n"/>
      <c r="B436" s="17" t="n"/>
      <c r="C436" s="18" t="n"/>
      <c r="D436" s="19" t="n"/>
      <c r="E436" s="17" t="n"/>
      <c r="F436" s="21">
        <f>IF(OR(B436="",C436=""),"",IFERROR(INT(ROUND(IFERROR(TIMEVALUE(IF(LEN(C436)-LEN(SUBSTITUTE(C436,":",""))=2,"","0:")&amp;C436)*86400,"")/VALUE(SUBSTITUTE(B436,"K","")),0)/60)&amp;":"&amp;TEXT(MOD(ROUND(IFERROR(TIMEVALUE(IF(LEN(C436)-LEN(SUBSTITUTE(C436,":",""))=2,"","0:")&amp;C436)*86400,"")/VALUE(SUBSTITUTE(B436,"K","")),0),60),"00"),""))</f>
        <v/>
      </c>
      <c r="G436" s="21">
        <f>IF(A436="","",IF(COUNTIF(Atletas!$A$2:$A$302,A436)&gt;0,"Sí","No"))</f>
        <v/>
      </c>
    </row>
    <row r="437">
      <c r="A437" s="17" t="n"/>
      <c r="B437" s="17" t="n"/>
      <c r="C437" s="18" t="n"/>
      <c r="D437" s="19" t="n"/>
      <c r="E437" s="17" t="n"/>
      <c r="F437" s="21">
        <f>IF(OR(B437="",C437=""),"",IFERROR(INT(ROUND(IFERROR(TIMEVALUE(IF(LEN(C437)-LEN(SUBSTITUTE(C437,":",""))=2,"","0:")&amp;C437)*86400,"")/VALUE(SUBSTITUTE(B437,"K","")),0)/60)&amp;":"&amp;TEXT(MOD(ROUND(IFERROR(TIMEVALUE(IF(LEN(C437)-LEN(SUBSTITUTE(C437,":",""))=2,"","0:")&amp;C437)*86400,"")/VALUE(SUBSTITUTE(B437,"K","")),0),60),"00"),""))</f>
        <v/>
      </c>
      <c r="G437" s="21">
        <f>IF(A437="","",IF(COUNTIF(Atletas!$A$2:$A$302,A437)&gt;0,"Sí","No"))</f>
        <v/>
      </c>
    </row>
    <row r="438">
      <c r="A438" s="17" t="n"/>
      <c r="B438" s="17" t="n"/>
      <c r="C438" s="18" t="n"/>
      <c r="D438" s="19" t="n"/>
      <c r="E438" s="17" t="n"/>
      <c r="F438" s="21">
        <f>IF(OR(B438="",C438=""),"",IFERROR(INT(ROUND(IFERROR(TIMEVALUE(IF(LEN(C438)-LEN(SUBSTITUTE(C438,":",""))=2,"","0:")&amp;C438)*86400,"")/VALUE(SUBSTITUTE(B438,"K","")),0)/60)&amp;":"&amp;TEXT(MOD(ROUND(IFERROR(TIMEVALUE(IF(LEN(C438)-LEN(SUBSTITUTE(C438,":",""))=2,"","0:")&amp;C438)*86400,"")/VALUE(SUBSTITUTE(B438,"K","")),0),60),"00"),""))</f>
        <v/>
      </c>
      <c r="G438" s="21">
        <f>IF(A438="","",IF(COUNTIF(Atletas!$A$2:$A$302,A438)&gt;0,"Sí","No"))</f>
        <v/>
      </c>
    </row>
    <row r="439">
      <c r="A439" s="17" t="n"/>
      <c r="B439" s="17" t="n"/>
      <c r="C439" s="18" t="n"/>
      <c r="D439" s="19" t="n"/>
      <c r="E439" s="17" t="n"/>
      <c r="F439" s="21">
        <f>IF(OR(B439="",C439=""),"",IFERROR(INT(ROUND(IFERROR(TIMEVALUE(IF(LEN(C439)-LEN(SUBSTITUTE(C439,":",""))=2,"","0:")&amp;C439)*86400,"")/VALUE(SUBSTITUTE(B439,"K","")),0)/60)&amp;":"&amp;TEXT(MOD(ROUND(IFERROR(TIMEVALUE(IF(LEN(C439)-LEN(SUBSTITUTE(C439,":",""))=2,"","0:")&amp;C439)*86400,"")/VALUE(SUBSTITUTE(B439,"K","")),0),60),"00"),""))</f>
        <v/>
      </c>
      <c r="G439" s="21">
        <f>IF(A439="","",IF(COUNTIF(Atletas!$A$2:$A$302,A439)&gt;0,"Sí","No"))</f>
        <v/>
      </c>
    </row>
    <row r="440">
      <c r="A440" s="17" t="n"/>
      <c r="B440" s="17" t="n"/>
      <c r="C440" s="18" t="n"/>
      <c r="D440" s="19" t="n"/>
      <c r="E440" s="17" t="n"/>
      <c r="F440" s="21">
        <f>IF(OR(B440="",C440=""),"",IFERROR(INT(ROUND(IFERROR(TIMEVALUE(IF(LEN(C440)-LEN(SUBSTITUTE(C440,":",""))=2,"","0:")&amp;C440)*86400,"")/VALUE(SUBSTITUTE(B440,"K","")),0)/60)&amp;":"&amp;TEXT(MOD(ROUND(IFERROR(TIMEVALUE(IF(LEN(C440)-LEN(SUBSTITUTE(C440,":",""))=2,"","0:")&amp;C440)*86400,"")/VALUE(SUBSTITUTE(B440,"K","")),0),60),"00"),""))</f>
        <v/>
      </c>
      <c r="G440" s="21">
        <f>IF(A440="","",IF(COUNTIF(Atletas!$A$2:$A$302,A440)&gt;0,"Sí","No"))</f>
        <v/>
      </c>
    </row>
    <row r="441">
      <c r="A441" s="17" t="n"/>
      <c r="B441" s="17" t="n"/>
      <c r="C441" s="18" t="n"/>
      <c r="D441" s="19" t="n"/>
      <c r="E441" s="17" t="n"/>
      <c r="F441" s="21">
        <f>IF(OR(B441="",C441=""),"",IFERROR(INT(ROUND(IFERROR(TIMEVALUE(IF(LEN(C441)-LEN(SUBSTITUTE(C441,":",""))=2,"","0:")&amp;C441)*86400,"")/VALUE(SUBSTITUTE(B441,"K","")),0)/60)&amp;":"&amp;TEXT(MOD(ROUND(IFERROR(TIMEVALUE(IF(LEN(C441)-LEN(SUBSTITUTE(C441,":",""))=2,"","0:")&amp;C441)*86400,"")/VALUE(SUBSTITUTE(B441,"K","")),0),60),"00"),""))</f>
        <v/>
      </c>
      <c r="G441" s="21">
        <f>IF(A441="","",IF(COUNTIF(Atletas!$A$2:$A$302,A441)&gt;0,"Sí","No"))</f>
        <v/>
      </c>
    </row>
    <row r="442">
      <c r="A442" s="17" t="n"/>
      <c r="B442" s="17" t="n"/>
      <c r="C442" s="18" t="n"/>
      <c r="D442" s="19" t="n"/>
      <c r="E442" s="17" t="n"/>
      <c r="F442" s="21">
        <f>IF(OR(B442="",C442=""),"",IFERROR(INT(ROUND(IFERROR(TIMEVALUE(IF(LEN(C442)-LEN(SUBSTITUTE(C442,":",""))=2,"","0:")&amp;C442)*86400,"")/VALUE(SUBSTITUTE(B442,"K","")),0)/60)&amp;":"&amp;TEXT(MOD(ROUND(IFERROR(TIMEVALUE(IF(LEN(C442)-LEN(SUBSTITUTE(C442,":",""))=2,"","0:")&amp;C442)*86400,"")/VALUE(SUBSTITUTE(B442,"K","")),0),60),"00"),""))</f>
        <v/>
      </c>
      <c r="G442" s="21">
        <f>IF(A442="","",IF(COUNTIF(Atletas!$A$2:$A$302,A442)&gt;0,"Sí","No"))</f>
        <v/>
      </c>
    </row>
    <row r="443">
      <c r="A443" s="17" t="n"/>
      <c r="B443" s="17" t="n"/>
      <c r="C443" s="18" t="n"/>
      <c r="D443" s="19" t="n"/>
      <c r="E443" s="17" t="n"/>
      <c r="F443" s="21">
        <f>IF(OR(B443="",C443=""),"",IFERROR(INT(ROUND(IFERROR(TIMEVALUE(IF(LEN(C443)-LEN(SUBSTITUTE(C443,":",""))=2,"","0:")&amp;C443)*86400,"")/VALUE(SUBSTITUTE(B443,"K","")),0)/60)&amp;":"&amp;TEXT(MOD(ROUND(IFERROR(TIMEVALUE(IF(LEN(C443)-LEN(SUBSTITUTE(C443,":",""))=2,"","0:")&amp;C443)*86400,"")/VALUE(SUBSTITUTE(B443,"K","")),0),60),"00"),""))</f>
        <v/>
      </c>
      <c r="G443" s="21">
        <f>IF(A443="","",IF(COUNTIF(Atletas!$A$2:$A$302,A443)&gt;0,"Sí","No"))</f>
        <v/>
      </c>
    </row>
    <row r="444">
      <c r="A444" s="17" t="n"/>
      <c r="B444" s="17" t="n"/>
      <c r="C444" s="18" t="n"/>
      <c r="D444" s="19" t="n"/>
      <c r="E444" s="17" t="n"/>
      <c r="F444" s="21">
        <f>IF(OR(B444="",C444=""),"",IFERROR(INT(ROUND(IFERROR(TIMEVALUE(IF(LEN(C444)-LEN(SUBSTITUTE(C444,":",""))=2,"","0:")&amp;C444)*86400,"")/VALUE(SUBSTITUTE(B444,"K","")),0)/60)&amp;":"&amp;TEXT(MOD(ROUND(IFERROR(TIMEVALUE(IF(LEN(C444)-LEN(SUBSTITUTE(C444,":",""))=2,"","0:")&amp;C444)*86400,"")/VALUE(SUBSTITUTE(B444,"K","")),0),60),"00"),""))</f>
        <v/>
      </c>
      <c r="G444" s="21">
        <f>IF(A444="","",IF(COUNTIF(Atletas!$A$2:$A$302,A444)&gt;0,"Sí","No"))</f>
        <v/>
      </c>
    </row>
    <row r="445">
      <c r="A445" s="17" t="n"/>
      <c r="B445" s="17" t="n"/>
      <c r="C445" s="18" t="n"/>
      <c r="D445" s="19" t="n"/>
      <c r="E445" s="17" t="n"/>
      <c r="F445" s="21">
        <f>IF(OR(B445="",C445=""),"",IFERROR(INT(ROUND(IFERROR(TIMEVALUE(IF(LEN(C445)-LEN(SUBSTITUTE(C445,":",""))=2,"","0:")&amp;C445)*86400,"")/VALUE(SUBSTITUTE(B445,"K","")),0)/60)&amp;":"&amp;TEXT(MOD(ROUND(IFERROR(TIMEVALUE(IF(LEN(C445)-LEN(SUBSTITUTE(C445,":",""))=2,"","0:")&amp;C445)*86400,"")/VALUE(SUBSTITUTE(B445,"K","")),0),60),"00"),""))</f>
        <v/>
      </c>
      <c r="G445" s="21">
        <f>IF(A445="","",IF(COUNTIF(Atletas!$A$2:$A$302,A445)&gt;0,"Sí","No"))</f>
        <v/>
      </c>
    </row>
    <row r="446">
      <c r="A446" s="17" t="n"/>
      <c r="B446" s="17" t="n"/>
      <c r="C446" s="18" t="n"/>
      <c r="D446" s="19" t="n"/>
      <c r="E446" s="17" t="n"/>
      <c r="F446" s="21">
        <f>IF(OR(B446="",C446=""),"",IFERROR(INT(ROUND(IFERROR(TIMEVALUE(IF(LEN(C446)-LEN(SUBSTITUTE(C446,":",""))=2,"","0:")&amp;C446)*86400,"")/VALUE(SUBSTITUTE(B446,"K","")),0)/60)&amp;":"&amp;TEXT(MOD(ROUND(IFERROR(TIMEVALUE(IF(LEN(C446)-LEN(SUBSTITUTE(C446,":",""))=2,"","0:")&amp;C446)*86400,"")/VALUE(SUBSTITUTE(B446,"K","")),0),60),"00"),""))</f>
        <v/>
      </c>
      <c r="G446" s="21">
        <f>IF(A446="","",IF(COUNTIF(Atletas!$A$2:$A$302,A446)&gt;0,"Sí","No"))</f>
        <v/>
      </c>
    </row>
    <row r="447">
      <c r="A447" s="17" t="n"/>
      <c r="B447" s="17" t="n"/>
      <c r="C447" s="18" t="n"/>
      <c r="D447" s="19" t="n"/>
      <c r="E447" s="17" t="n"/>
      <c r="F447" s="21">
        <f>IF(OR(B447="",C447=""),"",IFERROR(INT(ROUND(IFERROR(TIMEVALUE(IF(LEN(C447)-LEN(SUBSTITUTE(C447,":",""))=2,"","0:")&amp;C447)*86400,"")/VALUE(SUBSTITUTE(B447,"K","")),0)/60)&amp;":"&amp;TEXT(MOD(ROUND(IFERROR(TIMEVALUE(IF(LEN(C447)-LEN(SUBSTITUTE(C447,":",""))=2,"","0:")&amp;C447)*86400,"")/VALUE(SUBSTITUTE(B447,"K","")),0),60),"00"),""))</f>
        <v/>
      </c>
      <c r="G447" s="21">
        <f>IF(A447="","",IF(COUNTIF(Atletas!$A$2:$A$302,A447)&gt;0,"Sí","No"))</f>
        <v/>
      </c>
    </row>
    <row r="448">
      <c r="A448" s="17" t="n"/>
      <c r="B448" s="17" t="n"/>
      <c r="C448" s="18" t="n"/>
      <c r="D448" s="19" t="n"/>
      <c r="E448" s="17" t="n"/>
      <c r="F448" s="21">
        <f>IF(OR(B448="",C448=""),"",IFERROR(INT(ROUND(IFERROR(TIMEVALUE(IF(LEN(C448)-LEN(SUBSTITUTE(C448,":",""))=2,"","0:")&amp;C448)*86400,"")/VALUE(SUBSTITUTE(B448,"K","")),0)/60)&amp;":"&amp;TEXT(MOD(ROUND(IFERROR(TIMEVALUE(IF(LEN(C448)-LEN(SUBSTITUTE(C448,":",""))=2,"","0:")&amp;C448)*86400,"")/VALUE(SUBSTITUTE(B448,"K","")),0),60),"00"),""))</f>
        <v/>
      </c>
      <c r="G448" s="21">
        <f>IF(A448="","",IF(COUNTIF(Atletas!$A$2:$A$302,A448)&gt;0,"Sí","No"))</f>
        <v/>
      </c>
    </row>
    <row r="449">
      <c r="A449" s="17" t="n"/>
      <c r="B449" s="17" t="n"/>
      <c r="C449" s="18" t="n"/>
      <c r="D449" s="19" t="n"/>
      <c r="E449" s="17" t="n"/>
      <c r="F449" s="21">
        <f>IF(OR(B449="",C449=""),"",IFERROR(INT(ROUND(IFERROR(TIMEVALUE(IF(LEN(C449)-LEN(SUBSTITUTE(C449,":",""))=2,"","0:")&amp;C449)*86400,"")/VALUE(SUBSTITUTE(B449,"K","")),0)/60)&amp;":"&amp;TEXT(MOD(ROUND(IFERROR(TIMEVALUE(IF(LEN(C449)-LEN(SUBSTITUTE(C449,":",""))=2,"","0:")&amp;C449)*86400,"")/VALUE(SUBSTITUTE(B449,"K","")),0),60),"00"),""))</f>
        <v/>
      </c>
      <c r="G449" s="21">
        <f>IF(A449="","",IF(COUNTIF(Atletas!$A$2:$A$302,A449)&gt;0,"Sí","No"))</f>
        <v/>
      </c>
    </row>
    <row r="450">
      <c r="A450" s="17" t="n"/>
      <c r="B450" s="17" t="n"/>
      <c r="C450" s="18" t="n"/>
      <c r="D450" s="19" t="n"/>
      <c r="E450" s="17" t="n"/>
      <c r="F450" s="21">
        <f>IF(OR(B450="",C450=""),"",IFERROR(INT(ROUND(IFERROR(TIMEVALUE(IF(LEN(C450)-LEN(SUBSTITUTE(C450,":",""))=2,"","0:")&amp;C450)*86400,"")/VALUE(SUBSTITUTE(B450,"K","")),0)/60)&amp;":"&amp;TEXT(MOD(ROUND(IFERROR(TIMEVALUE(IF(LEN(C450)-LEN(SUBSTITUTE(C450,":",""))=2,"","0:")&amp;C450)*86400,"")/VALUE(SUBSTITUTE(B450,"K","")),0),60),"00"),""))</f>
        <v/>
      </c>
      <c r="G450" s="21">
        <f>IF(A450="","",IF(COUNTIF(Atletas!$A$2:$A$302,A450)&gt;0,"Sí","No"))</f>
        <v/>
      </c>
    </row>
    <row r="451">
      <c r="A451" s="17" t="n"/>
      <c r="B451" s="17" t="n"/>
      <c r="C451" s="18" t="n"/>
      <c r="D451" s="19" t="n"/>
      <c r="E451" s="17" t="n"/>
      <c r="F451" s="21">
        <f>IF(OR(B451="",C451=""),"",IFERROR(INT(ROUND(IFERROR(TIMEVALUE(IF(LEN(C451)-LEN(SUBSTITUTE(C451,":",""))=2,"","0:")&amp;C451)*86400,"")/VALUE(SUBSTITUTE(B451,"K","")),0)/60)&amp;":"&amp;TEXT(MOD(ROUND(IFERROR(TIMEVALUE(IF(LEN(C451)-LEN(SUBSTITUTE(C451,":",""))=2,"","0:")&amp;C451)*86400,"")/VALUE(SUBSTITUTE(B451,"K","")),0),60),"00"),""))</f>
        <v/>
      </c>
      <c r="G451" s="21">
        <f>IF(A451="","",IF(COUNTIF(Atletas!$A$2:$A$302,A451)&gt;0,"Sí","No"))</f>
        <v/>
      </c>
    </row>
    <row r="452">
      <c r="A452" s="17" t="n"/>
      <c r="B452" s="17" t="n"/>
      <c r="C452" s="18" t="n"/>
      <c r="D452" s="19" t="n"/>
      <c r="E452" s="17" t="n"/>
      <c r="F452" s="21">
        <f>IF(OR(B452="",C452=""),"",IFERROR(INT(ROUND(IFERROR(TIMEVALUE(IF(LEN(C452)-LEN(SUBSTITUTE(C452,":",""))=2,"","0:")&amp;C452)*86400,"")/VALUE(SUBSTITUTE(B452,"K","")),0)/60)&amp;":"&amp;TEXT(MOD(ROUND(IFERROR(TIMEVALUE(IF(LEN(C452)-LEN(SUBSTITUTE(C452,":",""))=2,"","0:")&amp;C452)*86400,"")/VALUE(SUBSTITUTE(B452,"K","")),0),60),"00"),""))</f>
        <v/>
      </c>
      <c r="G452" s="21">
        <f>IF(A452="","",IF(COUNTIF(Atletas!$A$2:$A$302,A452)&gt;0,"Sí","No"))</f>
        <v/>
      </c>
    </row>
    <row r="453">
      <c r="A453" s="17" t="n"/>
      <c r="B453" s="17" t="n"/>
      <c r="C453" s="18" t="n"/>
      <c r="D453" s="19" t="n"/>
      <c r="E453" s="17" t="n"/>
      <c r="F453" s="21">
        <f>IF(OR(B453="",C453=""),"",IFERROR(INT(ROUND(IFERROR(TIMEVALUE(IF(LEN(C453)-LEN(SUBSTITUTE(C453,":",""))=2,"","0:")&amp;C453)*86400,"")/VALUE(SUBSTITUTE(B453,"K","")),0)/60)&amp;":"&amp;TEXT(MOD(ROUND(IFERROR(TIMEVALUE(IF(LEN(C453)-LEN(SUBSTITUTE(C453,":",""))=2,"","0:")&amp;C453)*86400,"")/VALUE(SUBSTITUTE(B453,"K","")),0),60),"00"),""))</f>
        <v/>
      </c>
      <c r="G453" s="21">
        <f>IF(A453="","",IF(COUNTIF(Atletas!$A$2:$A$302,A453)&gt;0,"Sí","No"))</f>
        <v/>
      </c>
    </row>
    <row r="454">
      <c r="A454" s="17" t="n"/>
      <c r="B454" s="17" t="n"/>
      <c r="C454" s="18" t="n"/>
      <c r="D454" s="19" t="n"/>
      <c r="E454" s="17" t="n"/>
      <c r="F454" s="21">
        <f>IF(OR(B454="",C454=""),"",IFERROR(INT(ROUND(IFERROR(TIMEVALUE(IF(LEN(C454)-LEN(SUBSTITUTE(C454,":",""))=2,"","0:")&amp;C454)*86400,"")/VALUE(SUBSTITUTE(B454,"K","")),0)/60)&amp;":"&amp;TEXT(MOD(ROUND(IFERROR(TIMEVALUE(IF(LEN(C454)-LEN(SUBSTITUTE(C454,":",""))=2,"","0:")&amp;C454)*86400,"")/VALUE(SUBSTITUTE(B454,"K","")),0),60),"00"),""))</f>
        <v/>
      </c>
      <c r="G454" s="21">
        <f>IF(A454="","",IF(COUNTIF(Atletas!$A$2:$A$302,A454)&gt;0,"Sí","No"))</f>
        <v/>
      </c>
    </row>
    <row r="455">
      <c r="A455" s="17" t="n"/>
      <c r="B455" s="17" t="n"/>
      <c r="C455" s="18" t="n"/>
      <c r="D455" s="19" t="n"/>
      <c r="E455" s="17" t="n"/>
      <c r="F455" s="21">
        <f>IF(OR(B455="",C455=""),"",IFERROR(INT(ROUND(IFERROR(TIMEVALUE(IF(LEN(C455)-LEN(SUBSTITUTE(C455,":",""))=2,"","0:")&amp;C455)*86400,"")/VALUE(SUBSTITUTE(B455,"K","")),0)/60)&amp;":"&amp;TEXT(MOD(ROUND(IFERROR(TIMEVALUE(IF(LEN(C455)-LEN(SUBSTITUTE(C455,":",""))=2,"","0:")&amp;C455)*86400,"")/VALUE(SUBSTITUTE(B455,"K","")),0),60),"00"),""))</f>
        <v/>
      </c>
      <c r="G455" s="21">
        <f>IF(A455="","",IF(COUNTIF(Atletas!$A$2:$A$302,A455)&gt;0,"Sí","No"))</f>
        <v/>
      </c>
    </row>
    <row r="456">
      <c r="A456" s="17" t="n"/>
      <c r="B456" s="17" t="n"/>
      <c r="C456" s="18" t="n"/>
      <c r="D456" s="19" t="n"/>
      <c r="E456" s="17" t="n"/>
      <c r="F456" s="21">
        <f>IF(OR(B456="",C456=""),"",IFERROR(INT(ROUND(IFERROR(TIMEVALUE(IF(LEN(C456)-LEN(SUBSTITUTE(C456,":",""))=2,"","0:")&amp;C456)*86400,"")/VALUE(SUBSTITUTE(B456,"K","")),0)/60)&amp;":"&amp;TEXT(MOD(ROUND(IFERROR(TIMEVALUE(IF(LEN(C456)-LEN(SUBSTITUTE(C456,":",""))=2,"","0:")&amp;C456)*86400,"")/VALUE(SUBSTITUTE(B456,"K","")),0),60),"00"),""))</f>
        <v/>
      </c>
      <c r="G456" s="21">
        <f>IF(A456="","",IF(COUNTIF(Atletas!$A$2:$A$302,A456)&gt;0,"Sí","No"))</f>
        <v/>
      </c>
    </row>
    <row r="457">
      <c r="A457" s="17" t="n"/>
      <c r="B457" s="17" t="n"/>
      <c r="C457" s="18" t="n"/>
      <c r="D457" s="19" t="n"/>
      <c r="E457" s="17" t="n"/>
      <c r="F457" s="21">
        <f>IF(OR(B457="",C457=""),"",IFERROR(INT(ROUND(IFERROR(TIMEVALUE(IF(LEN(C457)-LEN(SUBSTITUTE(C457,":",""))=2,"","0:")&amp;C457)*86400,"")/VALUE(SUBSTITUTE(B457,"K","")),0)/60)&amp;":"&amp;TEXT(MOD(ROUND(IFERROR(TIMEVALUE(IF(LEN(C457)-LEN(SUBSTITUTE(C457,":",""))=2,"","0:")&amp;C457)*86400,"")/VALUE(SUBSTITUTE(B457,"K","")),0),60),"00"),""))</f>
        <v/>
      </c>
      <c r="G457" s="21">
        <f>IF(A457="","",IF(COUNTIF(Atletas!$A$2:$A$302,A457)&gt;0,"Sí","No"))</f>
        <v/>
      </c>
    </row>
    <row r="458">
      <c r="A458" s="17" t="n"/>
      <c r="B458" s="17" t="n"/>
      <c r="C458" s="18" t="n"/>
      <c r="D458" s="19" t="n"/>
      <c r="E458" s="17" t="n"/>
      <c r="F458" s="21">
        <f>IF(OR(B458="",C458=""),"",IFERROR(INT(ROUND(IFERROR(TIMEVALUE(IF(LEN(C458)-LEN(SUBSTITUTE(C458,":",""))=2,"","0:")&amp;C458)*86400,"")/VALUE(SUBSTITUTE(B458,"K","")),0)/60)&amp;":"&amp;TEXT(MOD(ROUND(IFERROR(TIMEVALUE(IF(LEN(C458)-LEN(SUBSTITUTE(C458,":",""))=2,"","0:")&amp;C458)*86400,"")/VALUE(SUBSTITUTE(B458,"K","")),0),60),"00"),""))</f>
        <v/>
      </c>
      <c r="G458" s="21">
        <f>IF(A458="","",IF(COUNTIF(Atletas!$A$2:$A$302,A458)&gt;0,"Sí","No"))</f>
        <v/>
      </c>
    </row>
    <row r="459">
      <c r="A459" s="17" t="n"/>
      <c r="B459" s="17" t="n"/>
      <c r="C459" s="18" t="n"/>
      <c r="D459" s="19" t="n"/>
      <c r="E459" s="17" t="n"/>
      <c r="F459" s="21">
        <f>IF(OR(B459="",C459=""),"",IFERROR(INT(ROUND(IFERROR(TIMEVALUE(IF(LEN(C459)-LEN(SUBSTITUTE(C459,":",""))=2,"","0:")&amp;C459)*86400,"")/VALUE(SUBSTITUTE(B459,"K","")),0)/60)&amp;":"&amp;TEXT(MOD(ROUND(IFERROR(TIMEVALUE(IF(LEN(C459)-LEN(SUBSTITUTE(C459,":",""))=2,"","0:")&amp;C459)*86400,"")/VALUE(SUBSTITUTE(B459,"K","")),0),60),"00"),""))</f>
        <v/>
      </c>
      <c r="G459" s="21">
        <f>IF(A459="","",IF(COUNTIF(Atletas!$A$2:$A$302,A459)&gt;0,"Sí","No"))</f>
        <v/>
      </c>
    </row>
    <row r="460">
      <c r="A460" s="17" t="n"/>
      <c r="B460" s="17" t="n"/>
      <c r="C460" s="18" t="n"/>
      <c r="D460" s="19" t="n"/>
      <c r="E460" s="17" t="n"/>
      <c r="F460" s="21">
        <f>IF(OR(B460="",C460=""),"",IFERROR(INT(ROUND(IFERROR(TIMEVALUE(IF(LEN(C460)-LEN(SUBSTITUTE(C460,":",""))=2,"","0:")&amp;C460)*86400,"")/VALUE(SUBSTITUTE(B460,"K","")),0)/60)&amp;":"&amp;TEXT(MOD(ROUND(IFERROR(TIMEVALUE(IF(LEN(C460)-LEN(SUBSTITUTE(C460,":",""))=2,"","0:")&amp;C460)*86400,"")/VALUE(SUBSTITUTE(B460,"K","")),0),60),"00"),""))</f>
        <v/>
      </c>
      <c r="G460" s="21">
        <f>IF(A460="","",IF(COUNTIF(Atletas!$A$2:$A$302,A460)&gt;0,"Sí","No"))</f>
        <v/>
      </c>
    </row>
    <row r="461">
      <c r="A461" s="17" t="n"/>
      <c r="B461" s="17" t="n"/>
      <c r="C461" s="18" t="n"/>
      <c r="D461" s="19" t="n"/>
      <c r="E461" s="17" t="n"/>
      <c r="F461" s="21">
        <f>IF(OR(B461="",C461=""),"",IFERROR(INT(ROUND(IFERROR(TIMEVALUE(IF(LEN(C461)-LEN(SUBSTITUTE(C461,":",""))=2,"","0:")&amp;C461)*86400,"")/VALUE(SUBSTITUTE(B461,"K","")),0)/60)&amp;":"&amp;TEXT(MOD(ROUND(IFERROR(TIMEVALUE(IF(LEN(C461)-LEN(SUBSTITUTE(C461,":",""))=2,"","0:")&amp;C461)*86400,"")/VALUE(SUBSTITUTE(B461,"K","")),0),60),"00"),""))</f>
        <v/>
      </c>
      <c r="G461" s="21">
        <f>IF(A461="","",IF(COUNTIF(Atletas!$A$2:$A$302,A461)&gt;0,"Sí","No"))</f>
        <v/>
      </c>
    </row>
    <row r="462">
      <c r="A462" s="17" t="n"/>
      <c r="B462" s="17" t="n"/>
      <c r="C462" s="18" t="n"/>
      <c r="D462" s="19" t="n"/>
      <c r="E462" s="17" t="n"/>
      <c r="F462" s="21">
        <f>IF(OR(B462="",C462=""),"",IFERROR(INT(ROUND(IFERROR(TIMEVALUE(IF(LEN(C462)-LEN(SUBSTITUTE(C462,":",""))=2,"","0:")&amp;C462)*86400,"")/VALUE(SUBSTITUTE(B462,"K","")),0)/60)&amp;":"&amp;TEXT(MOD(ROUND(IFERROR(TIMEVALUE(IF(LEN(C462)-LEN(SUBSTITUTE(C462,":",""))=2,"","0:")&amp;C462)*86400,"")/VALUE(SUBSTITUTE(B462,"K","")),0),60),"00"),""))</f>
        <v/>
      </c>
      <c r="G462" s="21">
        <f>IF(A462="","",IF(COUNTIF(Atletas!$A$2:$A$302,A462)&gt;0,"Sí","No"))</f>
        <v/>
      </c>
    </row>
    <row r="463">
      <c r="A463" s="17" t="n"/>
      <c r="B463" s="17" t="n"/>
      <c r="C463" s="18" t="n"/>
      <c r="D463" s="19" t="n"/>
      <c r="E463" s="17" t="n"/>
      <c r="F463" s="21">
        <f>IF(OR(B463="",C463=""),"",IFERROR(INT(ROUND(IFERROR(TIMEVALUE(IF(LEN(C463)-LEN(SUBSTITUTE(C463,":",""))=2,"","0:")&amp;C463)*86400,"")/VALUE(SUBSTITUTE(B463,"K","")),0)/60)&amp;":"&amp;TEXT(MOD(ROUND(IFERROR(TIMEVALUE(IF(LEN(C463)-LEN(SUBSTITUTE(C463,":",""))=2,"","0:")&amp;C463)*86400,"")/VALUE(SUBSTITUTE(B463,"K","")),0),60),"00"),""))</f>
        <v/>
      </c>
      <c r="G463" s="21">
        <f>IF(A463="","",IF(COUNTIF(Atletas!$A$2:$A$302,A463)&gt;0,"Sí","No"))</f>
        <v/>
      </c>
    </row>
    <row r="464">
      <c r="A464" s="17" t="n"/>
      <c r="B464" s="17" t="n"/>
      <c r="C464" s="18" t="n"/>
      <c r="D464" s="19" t="n"/>
      <c r="E464" s="17" t="n"/>
      <c r="F464" s="21">
        <f>IF(OR(B464="",C464=""),"",IFERROR(INT(ROUND(IFERROR(TIMEVALUE(IF(LEN(C464)-LEN(SUBSTITUTE(C464,":",""))=2,"","0:")&amp;C464)*86400,"")/VALUE(SUBSTITUTE(B464,"K","")),0)/60)&amp;":"&amp;TEXT(MOD(ROUND(IFERROR(TIMEVALUE(IF(LEN(C464)-LEN(SUBSTITUTE(C464,":",""))=2,"","0:")&amp;C464)*86400,"")/VALUE(SUBSTITUTE(B464,"K","")),0),60),"00"),""))</f>
        <v/>
      </c>
      <c r="G464" s="21">
        <f>IF(A464="","",IF(COUNTIF(Atletas!$A$2:$A$302,A464)&gt;0,"Sí","No"))</f>
        <v/>
      </c>
    </row>
    <row r="465">
      <c r="A465" s="17" t="n"/>
      <c r="B465" s="17" t="n"/>
      <c r="C465" s="18" t="n"/>
      <c r="D465" s="19" t="n"/>
      <c r="E465" s="17" t="n"/>
      <c r="F465" s="21">
        <f>IF(OR(B465="",C465=""),"",IFERROR(INT(ROUND(IFERROR(TIMEVALUE(IF(LEN(C465)-LEN(SUBSTITUTE(C465,":",""))=2,"","0:")&amp;C465)*86400,"")/VALUE(SUBSTITUTE(B465,"K","")),0)/60)&amp;":"&amp;TEXT(MOD(ROUND(IFERROR(TIMEVALUE(IF(LEN(C465)-LEN(SUBSTITUTE(C465,":",""))=2,"","0:")&amp;C465)*86400,"")/VALUE(SUBSTITUTE(B465,"K","")),0),60),"00"),""))</f>
        <v/>
      </c>
      <c r="G465" s="21">
        <f>IF(A465="","",IF(COUNTIF(Atletas!$A$2:$A$302,A465)&gt;0,"Sí","No"))</f>
        <v/>
      </c>
    </row>
    <row r="466">
      <c r="A466" s="17" t="n"/>
      <c r="B466" s="17" t="n"/>
      <c r="C466" s="18" t="n"/>
      <c r="D466" s="19" t="n"/>
      <c r="E466" s="17" t="n"/>
      <c r="F466" s="21">
        <f>IF(OR(B466="",C466=""),"",IFERROR(INT(ROUND(IFERROR(TIMEVALUE(IF(LEN(C466)-LEN(SUBSTITUTE(C466,":",""))=2,"","0:")&amp;C466)*86400,"")/VALUE(SUBSTITUTE(B466,"K","")),0)/60)&amp;":"&amp;TEXT(MOD(ROUND(IFERROR(TIMEVALUE(IF(LEN(C466)-LEN(SUBSTITUTE(C466,":",""))=2,"","0:")&amp;C466)*86400,"")/VALUE(SUBSTITUTE(B466,"K","")),0),60),"00"),""))</f>
        <v/>
      </c>
      <c r="G466" s="21">
        <f>IF(A466="","",IF(COUNTIF(Atletas!$A$2:$A$302,A466)&gt;0,"Sí","No"))</f>
        <v/>
      </c>
    </row>
    <row r="467">
      <c r="A467" s="17" t="n"/>
      <c r="B467" s="17" t="n"/>
      <c r="C467" s="18" t="n"/>
      <c r="D467" s="19" t="n"/>
      <c r="E467" s="17" t="n"/>
      <c r="F467" s="21">
        <f>IF(OR(B467="",C467=""),"",IFERROR(INT(ROUND(IFERROR(TIMEVALUE(IF(LEN(C467)-LEN(SUBSTITUTE(C467,":",""))=2,"","0:")&amp;C467)*86400,"")/VALUE(SUBSTITUTE(B467,"K","")),0)/60)&amp;":"&amp;TEXT(MOD(ROUND(IFERROR(TIMEVALUE(IF(LEN(C467)-LEN(SUBSTITUTE(C467,":",""))=2,"","0:")&amp;C467)*86400,"")/VALUE(SUBSTITUTE(B467,"K","")),0),60),"00"),""))</f>
        <v/>
      </c>
      <c r="G467" s="21">
        <f>IF(A467="","",IF(COUNTIF(Atletas!$A$2:$A$302,A467)&gt;0,"Sí","No"))</f>
        <v/>
      </c>
    </row>
    <row r="468">
      <c r="A468" s="17" t="n"/>
      <c r="B468" s="17" t="n"/>
      <c r="C468" s="18" t="n"/>
      <c r="D468" s="19" t="n"/>
      <c r="E468" s="17" t="n"/>
      <c r="F468" s="21">
        <f>IF(OR(B468="",C468=""),"",IFERROR(INT(ROUND(IFERROR(TIMEVALUE(IF(LEN(C468)-LEN(SUBSTITUTE(C468,":",""))=2,"","0:")&amp;C468)*86400,"")/VALUE(SUBSTITUTE(B468,"K","")),0)/60)&amp;":"&amp;TEXT(MOD(ROUND(IFERROR(TIMEVALUE(IF(LEN(C468)-LEN(SUBSTITUTE(C468,":",""))=2,"","0:")&amp;C468)*86400,"")/VALUE(SUBSTITUTE(B468,"K","")),0),60),"00"),""))</f>
        <v/>
      </c>
      <c r="G468" s="21">
        <f>IF(A468="","",IF(COUNTIF(Atletas!$A$2:$A$302,A468)&gt;0,"Sí","No"))</f>
        <v/>
      </c>
    </row>
    <row r="469">
      <c r="A469" s="17" t="n"/>
      <c r="B469" s="17" t="n"/>
      <c r="C469" s="18" t="n"/>
      <c r="D469" s="19" t="n"/>
      <c r="E469" s="17" t="n"/>
      <c r="F469" s="21">
        <f>IF(OR(B469="",C469=""),"",IFERROR(INT(ROUND(IFERROR(TIMEVALUE(IF(LEN(C469)-LEN(SUBSTITUTE(C469,":",""))=2,"","0:")&amp;C469)*86400,"")/VALUE(SUBSTITUTE(B469,"K","")),0)/60)&amp;":"&amp;TEXT(MOD(ROUND(IFERROR(TIMEVALUE(IF(LEN(C469)-LEN(SUBSTITUTE(C469,":",""))=2,"","0:")&amp;C469)*86400,"")/VALUE(SUBSTITUTE(B469,"K","")),0),60),"00"),""))</f>
        <v/>
      </c>
      <c r="G469" s="21">
        <f>IF(A469="","",IF(COUNTIF(Atletas!$A$2:$A$302,A469)&gt;0,"Sí","No"))</f>
        <v/>
      </c>
    </row>
    <row r="470">
      <c r="A470" s="17" t="n"/>
      <c r="B470" s="17" t="n"/>
      <c r="C470" s="18" t="n"/>
      <c r="D470" s="19" t="n"/>
      <c r="E470" s="17" t="n"/>
      <c r="F470" s="21">
        <f>IF(OR(B470="",C470=""),"",IFERROR(INT(ROUND(IFERROR(TIMEVALUE(IF(LEN(C470)-LEN(SUBSTITUTE(C470,":",""))=2,"","0:")&amp;C470)*86400,"")/VALUE(SUBSTITUTE(B470,"K","")),0)/60)&amp;":"&amp;TEXT(MOD(ROUND(IFERROR(TIMEVALUE(IF(LEN(C470)-LEN(SUBSTITUTE(C470,":",""))=2,"","0:")&amp;C470)*86400,"")/VALUE(SUBSTITUTE(B470,"K","")),0),60),"00"),""))</f>
        <v/>
      </c>
      <c r="G470" s="21">
        <f>IF(A470="","",IF(COUNTIF(Atletas!$A$2:$A$302,A470)&gt;0,"Sí","No"))</f>
        <v/>
      </c>
    </row>
    <row r="471">
      <c r="A471" s="17" t="n"/>
      <c r="B471" s="17" t="n"/>
      <c r="C471" s="18" t="n"/>
      <c r="D471" s="19" t="n"/>
      <c r="E471" s="17" t="n"/>
      <c r="F471" s="21">
        <f>IF(OR(B471="",C471=""),"",IFERROR(INT(ROUND(IFERROR(TIMEVALUE(IF(LEN(C471)-LEN(SUBSTITUTE(C471,":",""))=2,"","0:")&amp;C471)*86400,"")/VALUE(SUBSTITUTE(B471,"K","")),0)/60)&amp;":"&amp;TEXT(MOD(ROUND(IFERROR(TIMEVALUE(IF(LEN(C471)-LEN(SUBSTITUTE(C471,":",""))=2,"","0:")&amp;C471)*86400,"")/VALUE(SUBSTITUTE(B471,"K","")),0),60),"00"),""))</f>
        <v/>
      </c>
      <c r="G471" s="21">
        <f>IF(A471="","",IF(COUNTIF(Atletas!$A$2:$A$302,A471)&gt;0,"Sí","No"))</f>
        <v/>
      </c>
    </row>
    <row r="472">
      <c r="A472" s="17" t="n"/>
      <c r="B472" s="17" t="n"/>
      <c r="C472" s="18" t="n"/>
      <c r="D472" s="19" t="n"/>
      <c r="E472" s="17" t="n"/>
      <c r="F472" s="21">
        <f>IF(OR(B472="",C472=""),"",IFERROR(INT(ROUND(IFERROR(TIMEVALUE(IF(LEN(C472)-LEN(SUBSTITUTE(C472,":",""))=2,"","0:")&amp;C472)*86400,"")/VALUE(SUBSTITUTE(B472,"K","")),0)/60)&amp;":"&amp;TEXT(MOD(ROUND(IFERROR(TIMEVALUE(IF(LEN(C472)-LEN(SUBSTITUTE(C472,":",""))=2,"","0:")&amp;C472)*86400,"")/VALUE(SUBSTITUTE(B472,"K","")),0),60),"00"),""))</f>
        <v/>
      </c>
      <c r="G472" s="21">
        <f>IF(A472="","",IF(COUNTIF(Atletas!$A$2:$A$302,A472)&gt;0,"Sí","No"))</f>
        <v/>
      </c>
    </row>
    <row r="473">
      <c r="A473" s="17" t="n"/>
      <c r="B473" s="17" t="n"/>
      <c r="C473" s="18" t="n"/>
      <c r="D473" s="19" t="n"/>
      <c r="E473" s="17" t="n"/>
      <c r="F473" s="21">
        <f>IF(OR(B473="",C473=""),"",IFERROR(INT(ROUND(IFERROR(TIMEVALUE(IF(LEN(C473)-LEN(SUBSTITUTE(C473,":",""))=2,"","0:")&amp;C473)*86400,"")/VALUE(SUBSTITUTE(B473,"K","")),0)/60)&amp;":"&amp;TEXT(MOD(ROUND(IFERROR(TIMEVALUE(IF(LEN(C473)-LEN(SUBSTITUTE(C473,":",""))=2,"","0:")&amp;C473)*86400,"")/VALUE(SUBSTITUTE(B473,"K","")),0),60),"00"),""))</f>
        <v/>
      </c>
      <c r="G473" s="21">
        <f>IF(A473="","",IF(COUNTIF(Atletas!$A$2:$A$302,A473)&gt;0,"Sí","No"))</f>
        <v/>
      </c>
    </row>
    <row r="474">
      <c r="A474" s="17" t="n"/>
      <c r="B474" s="17" t="n"/>
      <c r="C474" s="18" t="n"/>
      <c r="D474" s="19" t="n"/>
      <c r="E474" s="17" t="n"/>
      <c r="F474" s="21">
        <f>IF(OR(B474="",C474=""),"",IFERROR(INT(ROUND(IFERROR(TIMEVALUE(IF(LEN(C474)-LEN(SUBSTITUTE(C474,":",""))=2,"","0:")&amp;C474)*86400,"")/VALUE(SUBSTITUTE(B474,"K","")),0)/60)&amp;":"&amp;TEXT(MOD(ROUND(IFERROR(TIMEVALUE(IF(LEN(C474)-LEN(SUBSTITUTE(C474,":",""))=2,"","0:")&amp;C474)*86400,"")/VALUE(SUBSTITUTE(B474,"K","")),0),60),"00"),""))</f>
        <v/>
      </c>
      <c r="G474" s="21">
        <f>IF(A474="","",IF(COUNTIF(Atletas!$A$2:$A$302,A474)&gt;0,"Sí","No"))</f>
        <v/>
      </c>
    </row>
    <row r="475">
      <c r="A475" s="17" t="n"/>
      <c r="B475" s="17" t="n"/>
      <c r="C475" s="18" t="n"/>
      <c r="D475" s="19" t="n"/>
      <c r="E475" s="17" t="n"/>
      <c r="F475" s="21">
        <f>IF(OR(B475="",C475=""),"",IFERROR(INT(ROUND(IFERROR(TIMEVALUE(IF(LEN(C475)-LEN(SUBSTITUTE(C475,":",""))=2,"","0:")&amp;C475)*86400,"")/VALUE(SUBSTITUTE(B475,"K","")),0)/60)&amp;":"&amp;TEXT(MOD(ROUND(IFERROR(TIMEVALUE(IF(LEN(C475)-LEN(SUBSTITUTE(C475,":",""))=2,"","0:")&amp;C475)*86400,"")/VALUE(SUBSTITUTE(B475,"K","")),0),60),"00"),""))</f>
        <v/>
      </c>
      <c r="G475" s="21">
        <f>IF(A475="","",IF(COUNTIF(Atletas!$A$2:$A$302,A475)&gt;0,"Sí","No"))</f>
        <v/>
      </c>
    </row>
    <row r="476">
      <c r="A476" s="17" t="n"/>
      <c r="B476" s="17" t="n"/>
      <c r="C476" s="18" t="n"/>
      <c r="D476" s="19" t="n"/>
      <c r="E476" s="17" t="n"/>
      <c r="F476" s="21">
        <f>IF(OR(B476="",C476=""),"",IFERROR(INT(ROUND(IFERROR(TIMEVALUE(IF(LEN(C476)-LEN(SUBSTITUTE(C476,":",""))=2,"","0:")&amp;C476)*86400,"")/VALUE(SUBSTITUTE(B476,"K","")),0)/60)&amp;":"&amp;TEXT(MOD(ROUND(IFERROR(TIMEVALUE(IF(LEN(C476)-LEN(SUBSTITUTE(C476,":",""))=2,"","0:")&amp;C476)*86400,"")/VALUE(SUBSTITUTE(B476,"K","")),0),60),"00"),""))</f>
        <v/>
      </c>
      <c r="G476" s="21">
        <f>IF(A476="","",IF(COUNTIF(Atletas!$A$2:$A$302,A476)&gt;0,"Sí","No"))</f>
        <v/>
      </c>
    </row>
    <row r="477">
      <c r="A477" s="17" t="n"/>
      <c r="B477" s="17" t="n"/>
      <c r="C477" s="18" t="n"/>
      <c r="D477" s="19" t="n"/>
      <c r="E477" s="17" t="n"/>
      <c r="F477" s="21">
        <f>IF(OR(B477="",C477=""),"",IFERROR(INT(ROUND(IFERROR(TIMEVALUE(IF(LEN(C477)-LEN(SUBSTITUTE(C477,":",""))=2,"","0:")&amp;C477)*86400,"")/VALUE(SUBSTITUTE(B477,"K","")),0)/60)&amp;":"&amp;TEXT(MOD(ROUND(IFERROR(TIMEVALUE(IF(LEN(C477)-LEN(SUBSTITUTE(C477,":",""))=2,"","0:")&amp;C477)*86400,"")/VALUE(SUBSTITUTE(B477,"K","")),0),60),"00"),""))</f>
        <v/>
      </c>
      <c r="G477" s="21">
        <f>IF(A477="","",IF(COUNTIF(Atletas!$A$2:$A$302,A477)&gt;0,"Sí","No"))</f>
        <v/>
      </c>
    </row>
    <row r="478">
      <c r="A478" s="17" t="n"/>
      <c r="B478" s="17" t="n"/>
      <c r="C478" s="18" t="n"/>
      <c r="D478" s="19" t="n"/>
      <c r="E478" s="17" t="n"/>
      <c r="F478" s="21">
        <f>IF(OR(B478="",C478=""),"",IFERROR(INT(ROUND(IFERROR(TIMEVALUE(IF(LEN(C478)-LEN(SUBSTITUTE(C478,":",""))=2,"","0:")&amp;C478)*86400,"")/VALUE(SUBSTITUTE(B478,"K","")),0)/60)&amp;":"&amp;TEXT(MOD(ROUND(IFERROR(TIMEVALUE(IF(LEN(C478)-LEN(SUBSTITUTE(C478,":",""))=2,"","0:")&amp;C478)*86400,"")/VALUE(SUBSTITUTE(B478,"K","")),0),60),"00"),""))</f>
        <v/>
      </c>
      <c r="G478" s="21">
        <f>IF(A478="","",IF(COUNTIF(Atletas!$A$2:$A$302,A478)&gt;0,"Sí","No"))</f>
        <v/>
      </c>
    </row>
    <row r="479">
      <c r="A479" s="17" t="n"/>
      <c r="B479" s="17" t="n"/>
      <c r="C479" s="18" t="n"/>
      <c r="D479" s="19" t="n"/>
      <c r="E479" s="17" t="n"/>
      <c r="F479" s="21">
        <f>IF(OR(B479="",C479=""),"",IFERROR(INT(ROUND(IFERROR(TIMEVALUE(IF(LEN(C479)-LEN(SUBSTITUTE(C479,":",""))=2,"","0:")&amp;C479)*86400,"")/VALUE(SUBSTITUTE(B479,"K","")),0)/60)&amp;":"&amp;TEXT(MOD(ROUND(IFERROR(TIMEVALUE(IF(LEN(C479)-LEN(SUBSTITUTE(C479,":",""))=2,"","0:")&amp;C479)*86400,"")/VALUE(SUBSTITUTE(B479,"K","")),0),60),"00"),""))</f>
        <v/>
      </c>
      <c r="G479" s="21">
        <f>IF(A479="","",IF(COUNTIF(Atletas!$A$2:$A$302,A479)&gt;0,"Sí","No"))</f>
        <v/>
      </c>
    </row>
    <row r="480">
      <c r="A480" s="17" t="n"/>
      <c r="B480" s="17" t="n"/>
      <c r="C480" s="18" t="n"/>
      <c r="D480" s="19" t="n"/>
      <c r="E480" s="17" t="n"/>
      <c r="F480" s="21">
        <f>IF(OR(B480="",C480=""),"",IFERROR(INT(ROUND(IFERROR(TIMEVALUE(IF(LEN(C480)-LEN(SUBSTITUTE(C480,":",""))=2,"","0:")&amp;C480)*86400,"")/VALUE(SUBSTITUTE(B480,"K","")),0)/60)&amp;":"&amp;TEXT(MOD(ROUND(IFERROR(TIMEVALUE(IF(LEN(C480)-LEN(SUBSTITUTE(C480,":",""))=2,"","0:")&amp;C480)*86400,"")/VALUE(SUBSTITUTE(B480,"K","")),0),60),"00"),""))</f>
        <v/>
      </c>
      <c r="G480" s="21">
        <f>IF(A480="","",IF(COUNTIF(Atletas!$A$2:$A$302,A480)&gt;0,"Sí","No"))</f>
        <v/>
      </c>
    </row>
    <row r="481">
      <c r="A481" s="17" t="n"/>
      <c r="B481" s="17" t="n"/>
      <c r="C481" s="18" t="n"/>
      <c r="D481" s="19" t="n"/>
      <c r="E481" s="17" t="n"/>
      <c r="F481" s="21">
        <f>IF(OR(B481="",C481=""),"",IFERROR(INT(ROUND(IFERROR(TIMEVALUE(IF(LEN(C481)-LEN(SUBSTITUTE(C481,":",""))=2,"","0:")&amp;C481)*86400,"")/VALUE(SUBSTITUTE(B481,"K","")),0)/60)&amp;":"&amp;TEXT(MOD(ROUND(IFERROR(TIMEVALUE(IF(LEN(C481)-LEN(SUBSTITUTE(C481,":",""))=2,"","0:")&amp;C481)*86400,"")/VALUE(SUBSTITUTE(B481,"K","")),0),60),"00"),""))</f>
        <v/>
      </c>
      <c r="G481" s="21">
        <f>IF(A481="","",IF(COUNTIF(Atletas!$A$2:$A$302,A481)&gt;0,"Sí","No"))</f>
        <v/>
      </c>
    </row>
    <row r="482">
      <c r="A482" s="17" t="n"/>
      <c r="B482" s="17" t="n"/>
      <c r="C482" s="18" t="n"/>
      <c r="D482" s="19" t="n"/>
      <c r="E482" s="17" t="n"/>
      <c r="F482" s="21">
        <f>IF(OR(B482="",C482=""),"",IFERROR(INT(ROUND(IFERROR(TIMEVALUE(IF(LEN(C482)-LEN(SUBSTITUTE(C482,":",""))=2,"","0:")&amp;C482)*86400,"")/VALUE(SUBSTITUTE(B482,"K","")),0)/60)&amp;":"&amp;TEXT(MOD(ROUND(IFERROR(TIMEVALUE(IF(LEN(C482)-LEN(SUBSTITUTE(C482,":",""))=2,"","0:")&amp;C482)*86400,"")/VALUE(SUBSTITUTE(B482,"K","")),0),60),"00"),""))</f>
        <v/>
      </c>
      <c r="G482" s="21">
        <f>IF(A482="","",IF(COUNTIF(Atletas!$A$2:$A$302,A482)&gt;0,"Sí","No"))</f>
        <v/>
      </c>
    </row>
    <row r="483">
      <c r="A483" s="17" t="n"/>
      <c r="B483" s="17" t="n"/>
      <c r="C483" s="18" t="n"/>
      <c r="D483" s="19" t="n"/>
      <c r="E483" s="17" t="n"/>
      <c r="F483" s="21">
        <f>IF(OR(B483="",C483=""),"",IFERROR(INT(ROUND(IFERROR(TIMEVALUE(IF(LEN(C483)-LEN(SUBSTITUTE(C483,":",""))=2,"","0:")&amp;C483)*86400,"")/VALUE(SUBSTITUTE(B483,"K","")),0)/60)&amp;":"&amp;TEXT(MOD(ROUND(IFERROR(TIMEVALUE(IF(LEN(C483)-LEN(SUBSTITUTE(C483,":",""))=2,"","0:")&amp;C483)*86400,"")/VALUE(SUBSTITUTE(B483,"K","")),0),60),"00"),""))</f>
        <v/>
      </c>
      <c r="G483" s="21">
        <f>IF(A483="","",IF(COUNTIF(Atletas!$A$2:$A$302,A483)&gt;0,"Sí","No"))</f>
        <v/>
      </c>
    </row>
    <row r="484">
      <c r="A484" s="17" t="n"/>
      <c r="B484" s="17" t="n"/>
      <c r="C484" s="18" t="n"/>
      <c r="D484" s="19" t="n"/>
      <c r="E484" s="17" t="n"/>
      <c r="F484" s="21">
        <f>IF(OR(B484="",C484=""),"",IFERROR(INT(ROUND(IFERROR(TIMEVALUE(IF(LEN(C484)-LEN(SUBSTITUTE(C484,":",""))=2,"","0:")&amp;C484)*86400,"")/VALUE(SUBSTITUTE(B484,"K","")),0)/60)&amp;":"&amp;TEXT(MOD(ROUND(IFERROR(TIMEVALUE(IF(LEN(C484)-LEN(SUBSTITUTE(C484,":",""))=2,"","0:")&amp;C484)*86400,"")/VALUE(SUBSTITUTE(B484,"K","")),0),60),"00"),""))</f>
        <v/>
      </c>
      <c r="G484" s="21">
        <f>IF(A484="","",IF(COUNTIF(Atletas!$A$2:$A$302,A484)&gt;0,"Sí","No"))</f>
        <v/>
      </c>
    </row>
    <row r="485">
      <c r="A485" s="17" t="n"/>
      <c r="B485" s="17" t="n"/>
      <c r="C485" s="18" t="n"/>
      <c r="D485" s="19" t="n"/>
      <c r="E485" s="17" t="n"/>
      <c r="F485" s="21">
        <f>IF(OR(B485="",C485=""),"",IFERROR(INT(ROUND(IFERROR(TIMEVALUE(IF(LEN(C485)-LEN(SUBSTITUTE(C485,":",""))=2,"","0:")&amp;C485)*86400,"")/VALUE(SUBSTITUTE(B485,"K","")),0)/60)&amp;":"&amp;TEXT(MOD(ROUND(IFERROR(TIMEVALUE(IF(LEN(C485)-LEN(SUBSTITUTE(C485,":",""))=2,"","0:")&amp;C485)*86400,"")/VALUE(SUBSTITUTE(B485,"K","")),0),60),"00"),""))</f>
        <v/>
      </c>
      <c r="G485" s="21">
        <f>IF(A485="","",IF(COUNTIF(Atletas!$A$2:$A$302,A485)&gt;0,"Sí","No"))</f>
        <v/>
      </c>
    </row>
    <row r="486">
      <c r="A486" s="17" t="n"/>
      <c r="B486" s="17" t="n"/>
      <c r="C486" s="18" t="n"/>
      <c r="D486" s="19" t="n"/>
      <c r="E486" s="17" t="n"/>
      <c r="F486" s="21">
        <f>IF(OR(B486="",C486=""),"",IFERROR(INT(ROUND(IFERROR(TIMEVALUE(IF(LEN(C486)-LEN(SUBSTITUTE(C486,":",""))=2,"","0:")&amp;C486)*86400,"")/VALUE(SUBSTITUTE(B486,"K","")),0)/60)&amp;":"&amp;TEXT(MOD(ROUND(IFERROR(TIMEVALUE(IF(LEN(C486)-LEN(SUBSTITUTE(C486,":",""))=2,"","0:")&amp;C486)*86400,"")/VALUE(SUBSTITUTE(B486,"K","")),0),60),"00"),""))</f>
        <v/>
      </c>
      <c r="G486" s="21">
        <f>IF(A486="","",IF(COUNTIF(Atletas!$A$2:$A$302,A486)&gt;0,"Sí","No"))</f>
        <v/>
      </c>
    </row>
    <row r="487">
      <c r="A487" s="17" t="n"/>
      <c r="B487" s="17" t="n"/>
      <c r="C487" s="18" t="n"/>
      <c r="D487" s="19" t="n"/>
      <c r="E487" s="17" t="n"/>
      <c r="F487" s="21">
        <f>IF(OR(B487="",C487=""),"",IFERROR(INT(ROUND(IFERROR(TIMEVALUE(IF(LEN(C487)-LEN(SUBSTITUTE(C487,":",""))=2,"","0:")&amp;C487)*86400,"")/VALUE(SUBSTITUTE(B487,"K","")),0)/60)&amp;":"&amp;TEXT(MOD(ROUND(IFERROR(TIMEVALUE(IF(LEN(C487)-LEN(SUBSTITUTE(C487,":",""))=2,"","0:")&amp;C487)*86400,"")/VALUE(SUBSTITUTE(B487,"K","")),0),60),"00"),""))</f>
        <v/>
      </c>
      <c r="G487" s="21">
        <f>IF(A487="","",IF(COUNTIF(Atletas!$A$2:$A$302,A487)&gt;0,"Sí","No"))</f>
        <v/>
      </c>
    </row>
    <row r="488">
      <c r="A488" s="17" t="n"/>
      <c r="B488" s="17" t="n"/>
      <c r="C488" s="18" t="n"/>
      <c r="D488" s="19" t="n"/>
      <c r="E488" s="17" t="n"/>
      <c r="F488" s="21">
        <f>IF(OR(B488="",C488=""),"",IFERROR(INT(ROUND(IFERROR(TIMEVALUE(IF(LEN(C488)-LEN(SUBSTITUTE(C488,":",""))=2,"","0:")&amp;C488)*86400,"")/VALUE(SUBSTITUTE(B488,"K","")),0)/60)&amp;":"&amp;TEXT(MOD(ROUND(IFERROR(TIMEVALUE(IF(LEN(C488)-LEN(SUBSTITUTE(C488,":",""))=2,"","0:")&amp;C488)*86400,"")/VALUE(SUBSTITUTE(B488,"K","")),0),60),"00"),""))</f>
        <v/>
      </c>
      <c r="G488" s="21">
        <f>IF(A488="","",IF(COUNTIF(Atletas!$A$2:$A$302,A488)&gt;0,"Sí","No"))</f>
        <v/>
      </c>
    </row>
    <row r="489">
      <c r="A489" s="17" t="n"/>
      <c r="B489" s="17" t="n"/>
      <c r="C489" s="18" t="n"/>
      <c r="D489" s="19" t="n"/>
      <c r="E489" s="17" t="n"/>
      <c r="F489" s="21">
        <f>IF(OR(B489="",C489=""),"",IFERROR(INT(ROUND(IFERROR(TIMEVALUE(IF(LEN(C489)-LEN(SUBSTITUTE(C489,":",""))=2,"","0:")&amp;C489)*86400,"")/VALUE(SUBSTITUTE(B489,"K","")),0)/60)&amp;":"&amp;TEXT(MOD(ROUND(IFERROR(TIMEVALUE(IF(LEN(C489)-LEN(SUBSTITUTE(C489,":",""))=2,"","0:")&amp;C489)*86400,"")/VALUE(SUBSTITUTE(B489,"K","")),0),60),"00"),""))</f>
        <v/>
      </c>
      <c r="G489" s="21">
        <f>IF(A489="","",IF(COUNTIF(Atletas!$A$2:$A$302,A489)&gt;0,"Sí","No"))</f>
        <v/>
      </c>
    </row>
    <row r="490">
      <c r="A490" s="17" t="n"/>
      <c r="B490" s="17" t="n"/>
      <c r="C490" s="18" t="n"/>
      <c r="D490" s="19" t="n"/>
      <c r="E490" s="17" t="n"/>
      <c r="F490" s="21">
        <f>IF(OR(B490="",C490=""),"",IFERROR(INT(ROUND(IFERROR(TIMEVALUE(IF(LEN(C490)-LEN(SUBSTITUTE(C490,":",""))=2,"","0:")&amp;C490)*86400,"")/VALUE(SUBSTITUTE(B490,"K","")),0)/60)&amp;":"&amp;TEXT(MOD(ROUND(IFERROR(TIMEVALUE(IF(LEN(C490)-LEN(SUBSTITUTE(C490,":",""))=2,"","0:")&amp;C490)*86400,"")/VALUE(SUBSTITUTE(B490,"K","")),0),60),"00"),""))</f>
        <v/>
      </c>
      <c r="G490" s="21">
        <f>IF(A490="","",IF(COUNTIF(Atletas!$A$2:$A$302,A490)&gt;0,"Sí","No"))</f>
        <v/>
      </c>
    </row>
    <row r="491">
      <c r="A491" s="17" t="n"/>
      <c r="B491" s="17" t="n"/>
      <c r="C491" s="18" t="n"/>
      <c r="D491" s="19" t="n"/>
      <c r="E491" s="17" t="n"/>
      <c r="F491" s="21">
        <f>IF(OR(B491="",C491=""),"",IFERROR(INT(ROUND(IFERROR(TIMEVALUE(IF(LEN(C491)-LEN(SUBSTITUTE(C491,":",""))=2,"","0:")&amp;C491)*86400,"")/VALUE(SUBSTITUTE(B491,"K","")),0)/60)&amp;":"&amp;TEXT(MOD(ROUND(IFERROR(TIMEVALUE(IF(LEN(C491)-LEN(SUBSTITUTE(C491,":",""))=2,"","0:")&amp;C491)*86400,"")/VALUE(SUBSTITUTE(B491,"K","")),0),60),"00"),""))</f>
        <v/>
      </c>
      <c r="G491" s="21">
        <f>IF(A491="","",IF(COUNTIF(Atletas!$A$2:$A$302,A491)&gt;0,"Sí","No"))</f>
        <v/>
      </c>
    </row>
    <row r="492">
      <c r="A492" s="17" t="n"/>
      <c r="B492" s="17" t="n"/>
      <c r="C492" s="18" t="n"/>
      <c r="D492" s="19" t="n"/>
      <c r="E492" s="17" t="n"/>
      <c r="F492" s="21">
        <f>IF(OR(B492="",C492=""),"",IFERROR(INT(ROUND(IFERROR(TIMEVALUE(IF(LEN(C492)-LEN(SUBSTITUTE(C492,":",""))=2,"","0:")&amp;C492)*86400,"")/VALUE(SUBSTITUTE(B492,"K","")),0)/60)&amp;":"&amp;TEXT(MOD(ROUND(IFERROR(TIMEVALUE(IF(LEN(C492)-LEN(SUBSTITUTE(C492,":",""))=2,"","0:")&amp;C492)*86400,"")/VALUE(SUBSTITUTE(B492,"K","")),0),60),"00"),""))</f>
        <v/>
      </c>
      <c r="G492" s="21">
        <f>IF(A492="","",IF(COUNTIF(Atletas!$A$2:$A$302,A492)&gt;0,"Sí","No"))</f>
        <v/>
      </c>
    </row>
    <row r="493">
      <c r="A493" s="17" t="n"/>
      <c r="B493" s="17" t="n"/>
      <c r="C493" s="18" t="n"/>
      <c r="D493" s="19" t="n"/>
      <c r="E493" s="17" t="n"/>
      <c r="F493" s="21">
        <f>IF(OR(B493="",C493=""),"",IFERROR(INT(ROUND(IFERROR(TIMEVALUE(IF(LEN(C493)-LEN(SUBSTITUTE(C493,":",""))=2,"","0:")&amp;C493)*86400,"")/VALUE(SUBSTITUTE(B493,"K","")),0)/60)&amp;":"&amp;TEXT(MOD(ROUND(IFERROR(TIMEVALUE(IF(LEN(C493)-LEN(SUBSTITUTE(C493,":",""))=2,"","0:")&amp;C493)*86400,"")/VALUE(SUBSTITUTE(B493,"K","")),0),60),"00"),""))</f>
        <v/>
      </c>
      <c r="G493" s="21">
        <f>IF(A493="","",IF(COUNTIF(Atletas!$A$2:$A$302,A493)&gt;0,"Sí","No"))</f>
        <v/>
      </c>
    </row>
    <row r="494">
      <c r="A494" s="17" t="n"/>
      <c r="B494" s="17" t="n"/>
      <c r="C494" s="18" t="n"/>
      <c r="D494" s="19" t="n"/>
      <c r="E494" s="17" t="n"/>
      <c r="F494" s="21">
        <f>IF(OR(B494="",C494=""),"",IFERROR(INT(ROUND(IFERROR(TIMEVALUE(IF(LEN(C494)-LEN(SUBSTITUTE(C494,":",""))=2,"","0:")&amp;C494)*86400,"")/VALUE(SUBSTITUTE(B494,"K","")),0)/60)&amp;":"&amp;TEXT(MOD(ROUND(IFERROR(TIMEVALUE(IF(LEN(C494)-LEN(SUBSTITUTE(C494,":",""))=2,"","0:")&amp;C494)*86400,"")/VALUE(SUBSTITUTE(B494,"K","")),0),60),"00"),""))</f>
        <v/>
      </c>
      <c r="G494" s="21">
        <f>IF(A494="","",IF(COUNTIF(Atletas!$A$2:$A$302,A494)&gt;0,"Sí","No"))</f>
        <v/>
      </c>
    </row>
    <row r="495">
      <c r="A495" s="17" t="n"/>
      <c r="B495" s="17" t="n"/>
      <c r="C495" s="18" t="n"/>
      <c r="D495" s="19" t="n"/>
      <c r="E495" s="17" t="n"/>
      <c r="F495" s="21">
        <f>IF(OR(B495="",C495=""),"",IFERROR(INT(ROUND(IFERROR(TIMEVALUE(IF(LEN(C495)-LEN(SUBSTITUTE(C495,":",""))=2,"","0:")&amp;C495)*86400,"")/VALUE(SUBSTITUTE(B495,"K","")),0)/60)&amp;":"&amp;TEXT(MOD(ROUND(IFERROR(TIMEVALUE(IF(LEN(C495)-LEN(SUBSTITUTE(C495,":",""))=2,"","0:")&amp;C495)*86400,"")/VALUE(SUBSTITUTE(B495,"K","")),0),60),"00"),""))</f>
        <v/>
      </c>
      <c r="G495" s="21">
        <f>IF(A495="","",IF(COUNTIF(Atletas!$A$2:$A$302,A495)&gt;0,"Sí","No"))</f>
        <v/>
      </c>
    </row>
    <row r="496">
      <c r="A496" s="17" t="n"/>
      <c r="B496" s="17" t="n"/>
      <c r="C496" s="18" t="n"/>
      <c r="D496" s="19" t="n"/>
      <c r="E496" s="17" t="n"/>
      <c r="F496" s="21">
        <f>IF(OR(B496="",C496=""),"",IFERROR(INT(ROUND(IFERROR(TIMEVALUE(IF(LEN(C496)-LEN(SUBSTITUTE(C496,":",""))=2,"","0:")&amp;C496)*86400,"")/VALUE(SUBSTITUTE(B496,"K","")),0)/60)&amp;":"&amp;TEXT(MOD(ROUND(IFERROR(TIMEVALUE(IF(LEN(C496)-LEN(SUBSTITUTE(C496,":",""))=2,"","0:")&amp;C496)*86400,"")/VALUE(SUBSTITUTE(B496,"K","")),0),60),"00"),""))</f>
        <v/>
      </c>
      <c r="G496" s="21">
        <f>IF(A496="","",IF(COUNTIF(Atletas!$A$2:$A$302,A496)&gt;0,"Sí","No"))</f>
        <v/>
      </c>
    </row>
    <row r="497">
      <c r="A497" s="17" t="n"/>
      <c r="B497" s="17" t="n"/>
      <c r="C497" s="18" t="n"/>
      <c r="D497" s="19" t="n"/>
      <c r="E497" s="17" t="n"/>
      <c r="F497" s="21">
        <f>IF(OR(B497="",C497=""),"",IFERROR(INT(ROUND(IFERROR(TIMEVALUE(IF(LEN(C497)-LEN(SUBSTITUTE(C497,":",""))=2,"","0:")&amp;C497)*86400,"")/VALUE(SUBSTITUTE(B497,"K","")),0)/60)&amp;":"&amp;TEXT(MOD(ROUND(IFERROR(TIMEVALUE(IF(LEN(C497)-LEN(SUBSTITUTE(C497,":",""))=2,"","0:")&amp;C497)*86400,"")/VALUE(SUBSTITUTE(B497,"K","")),0),60),"00"),""))</f>
        <v/>
      </c>
      <c r="G497" s="21">
        <f>IF(A497="","",IF(COUNTIF(Atletas!$A$2:$A$302,A497)&gt;0,"Sí","No"))</f>
        <v/>
      </c>
    </row>
    <row r="498">
      <c r="A498" s="17" t="n"/>
      <c r="B498" s="17" t="n"/>
      <c r="C498" s="18" t="n"/>
      <c r="D498" s="19" t="n"/>
      <c r="E498" s="17" t="n"/>
      <c r="F498" s="21">
        <f>IF(OR(B498="",C498=""),"",IFERROR(INT(ROUND(IFERROR(TIMEVALUE(IF(LEN(C498)-LEN(SUBSTITUTE(C498,":",""))=2,"","0:")&amp;C498)*86400,"")/VALUE(SUBSTITUTE(B498,"K","")),0)/60)&amp;":"&amp;TEXT(MOD(ROUND(IFERROR(TIMEVALUE(IF(LEN(C498)-LEN(SUBSTITUTE(C498,":",""))=2,"","0:")&amp;C498)*86400,"")/VALUE(SUBSTITUTE(B498,"K","")),0),60),"00"),""))</f>
        <v/>
      </c>
      <c r="G498" s="21">
        <f>IF(A498="","",IF(COUNTIF(Atletas!$A$2:$A$302,A498)&gt;0,"Sí","No"))</f>
        <v/>
      </c>
    </row>
    <row r="499">
      <c r="A499" s="17" t="n"/>
      <c r="B499" s="17" t="n"/>
      <c r="C499" s="18" t="n"/>
      <c r="D499" s="19" t="n"/>
      <c r="E499" s="17" t="n"/>
      <c r="F499" s="21">
        <f>IF(OR(B499="",C499=""),"",IFERROR(INT(ROUND(IFERROR(TIMEVALUE(IF(LEN(C499)-LEN(SUBSTITUTE(C499,":",""))=2,"","0:")&amp;C499)*86400,"")/VALUE(SUBSTITUTE(B499,"K","")),0)/60)&amp;":"&amp;TEXT(MOD(ROUND(IFERROR(TIMEVALUE(IF(LEN(C499)-LEN(SUBSTITUTE(C499,":",""))=2,"","0:")&amp;C499)*86400,"")/VALUE(SUBSTITUTE(B499,"K","")),0),60),"00"),""))</f>
        <v/>
      </c>
      <c r="G499" s="21">
        <f>IF(A499="","",IF(COUNTIF(Atletas!$A$2:$A$302,A499)&gt;0,"Sí","No"))</f>
        <v/>
      </c>
    </row>
    <row r="500">
      <c r="A500" s="17" t="n"/>
      <c r="B500" s="17" t="n"/>
      <c r="C500" s="18" t="n"/>
      <c r="D500" s="19" t="n"/>
      <c r="E500" s="17" t="n"/>
      <c r="F500" s="21">
        <f>IF(OR(B500="",C500=""),"",IFERROR(INT(ROUND(IFERROR(TIMEVALUE(IF(LEN(C500)-LEN(SUBSTITUTE(C500,":",""))=2,"","0:")&amp;C500)*86400,"")/VALUE(SUBSTITUTE(B500,"K","")),0)/60)&amp;":"&amp;TEXT(MOD(ROUND(IFERROR(TIMEVALUE(IF(LEN(C500)-LEN(SUBSTITUTE(C500,":",""))=2,"","0:")&amp;C500)*86400,"")/VALUE(SUBSTITUTE(B500,"K","")),0),60),"00"),""))</f>
        <v/>
      </c>
      <c r="G500" s="21">
        <f>IF(A500="","",IF(COUNTIF(Atletas!$A$2:$A$302,A500)&gt;0,"Sí","No"))</f>
        <v/>
      </c>
    </row>
    <row r="501">
      <c r="A501" s="17" t="n"/>
      <c r="B501" s="17" t="n"/>
      <c r="C501" s="18" t="n"/>
      <c r="D501" s="19" t="n"/>
      <c r="E501" s="17" t="n"/>
      <c r="F501" s="21">
        <f>IF(OR(B501="",C501=""),"",IFERROR(INT(ROUND(IFERROR(TIMEVALUE(IF(LEN(C501)-LEN(SUBSTITUTE(C501,":",""))=2,"","0:")&amp;C501)*86400,"")/VALUE(SUBSTITUTE(B501,"K","")),0)/60)&amp;":"&amp;TEXT(MOD(ROUND(IFERROR(TIMEVALUE(IF(LEN(C501)-LEN(SUBSTITUTE(C501,":",""))=2,"","0:")&amp;C501)*86400,"")/VALUE(SUBSTITUTE(B501,"K","")),0),60),"00"),""))</f>
        <v/>
      </c>
      <c r="G501" s="21">
        <f>IF(A501="","",IF(COUNTIF(Atletas!$A$2:$A$302,A501)&gt;0,"Sí","No"))</f>
        <v/>
      </c>
    </row>
    <row r="502">
      <c r="A502" s="17" t="n"/>
      <c r="B502" s="17" t="n"/>
      <c r="C502" s="18" t="n"/>
      <c r="D502" s="19" t="n"/>
      <c r="E502" s="17" t="n"/>
      <c r="F502" s="21">
        <f>IF(OR(B502="",C502=""),"",IFERROR(INT(ROUND(IFERROR(TIMEVALUE(IF(LEN(C502)-LEN(SUBSTITUTE(C502,":",""))=2,"","0:")&amp;C502)*86400,"")/VALUE(SUBSTITUTE(B502,"K","")),0)/60)&amp;":"&amp;TEXT(MOD(ROUND(IFERROR(TIMEVALUE(IF(LEN(C502)-LEN(SUBSTITUTE(C502,":",""))=2,"","0:")&amp;C502)*86400,"")/VALUE(SUBSTITUTE(B502,"K","")),0),60),"00"),""))</f>
        <v/>
      </c>
      <c r="G502" s="21">
        <f>IF(A502="","",IF(COUNTIF(Atletas!$A$2:$A$302,A502)&gt;0,"Sí","No"))</f>
        <v/>
      </c>
    </row>
    <row r="503">
      <c r="A503" s="17" t="n"/>
      <c r="B503" s="17" t="n"/>
      <c r="C503" s="18" t="n"/>
      <c r="D503" s="19" t="n"/>
      <c r="E503" s="17" t="n"/>
      <c r="F503" s="21">
        <f>IF(OR(B503="",C503=""),"",IFERROR(INT(ROUND(IFERROR(TIMEVALUE(IF(LEN(C503)-LEN(SUBSTITUTE(C503,":",""))=2,"","0:")&amp;C503)*86400,"")/VALUE(SUBSTITUTE(B503,"K","")),0)/60)&amp;":"&amp;TEXT(MOD(ROUND(IFERROR(TIMEVALUE(IF(LEN(C503)-LEN(SUBSTITUTE(C503,":",""))=2,"","0:")&amp;C503)*86400,"")/VALUE(SUBSTITUTE(B503,"K","")),0),60),"00"),""))</f>
        <v/>
      </c>
      <c r="G503" s="21">
        <f>IF(A503="","",IF(COUNTIF(Atletas!$A$2:$A$302,A503)&gt;0,"Sí","No"))</f>
        <v/>
      </c>
    </row>
    <row r="504">
      <c r="A504" s="17" t="n"/>
      <c r="B504" s="17" t="n"/>
      <c r="C504" s="18" t="n"/>
      <c r="D504" s="19" t="n"/>
      <c r="E504" s="17" t="n"/>
      <c r="F504" s="21">
        <f>IF(OR(B504="",C504=""),"",IFERROR(INT(ROUND(IFERROR(TIMEVALUE(IF(LEN(C504)-LEN(SUBSTITUTE(C504,":",""))=2,"","0:")&amp;C504)*86400,"")/VALUE(SUBSTITUTE(B504,"K","")),0)/60)&amp;":"&amp;TEXT(MOD(ROUND(IFERROR(TIMEVALUE(IF(LEN(C504)-LEN(SUBSTITUTE(C504,":",""))=2,"","0:")&amp;C504)*86400,"")/VALUE(SUBSTITUTE(B504,"K","")),0),60),"00"),""))</f>
        <v/>
      </c>
      <c r="G504" s="21">
        <f>IF(A504="","",IF(COUNTIF(Atletas!$A$2:$A$302,A504)&gt;0,"Sí","No"))</f>
        <v/>
      </c>
    </row>
    <row r="505">
      <c r="A505" s="17" t="n"/>
      <c r="B505" s="17" t="n"/>
      <c r="C505" s="18" t="n"/>
      <c r="D505" s="19" t="n"/>
      <c r="E505" s="17" t="n"/>
      <c r="F505" s="21">
        <f>IF(OR(B505="",C505=""),"",IFERROR(INT(ROUND(IFERROR(TIMEVALUE(IF(LEN(C505)-LEN(SUBSTITUTE(C505,":",""))=2,"","0:")&amp;C505)*86400,"")/VALUE(SUBSTITUTE(B505,"K","")),0)/60)&amp;":"&amp;TEXT(MOD(ROUND(IFERROR(TIMEVALUE(IF(LEN(C505)-LEN(SUBSTITUTE(C505,":",""))=2,"","0:")&amp;C505)*86400,"")/VALUE(SUBSTITUTE(B505,"K","")),0),60),"00"),""))</f>
        <v/>
      </c>
      <c r="G505" s="21">
        <f>IF(A505="","",IF(COUNTIF(Atletas!$A$2:$A$302,A505)&gt;0,"Sí","No"))</f>
        <v/>
      </c>
    </row>
    <row r="506">
      <c r="A506" s="17" t="n"/>
      <c r="B506" s="17" t="n"/>
      <c r="C506" s="18" t="n"/>
      <c r="D506" s="19" t="n"/>
      <c r="E506" s="17" t="n"/>
      <c r="F506" s="21">
        <f>IF(OR(B506="",C506=""),"",IFERROR(INT(ROUND(IFERROR(TIMEVALUE(IF(LEN(C506)-LEN(SUBSTITUTE(C506,":",""))=2,"","0:")&amp;C506)*86400,"")/VALUE(SUBSTITUTE(B506,"K","")),0)/60)&amp;":"&amp;TEXT(MOD(ROUND(IFERROR(TIMEVALUE(IF(LEN(C506)-LEN(SUBSTITUTE(C506,":",""))=2,"","0:")&amp;C506)*86400,"")/VALUE(SUBSTITUTE(B506,"K","")),0),60),"00"),""))</f>
        <v/>
      </c>
      <c r="G506" s="21">
        <f>IF(A506="","",IF(COUNTIF(Atletas!$A$2:$A$302,A506)&gt;0,"Sí","No"))</f>
        <v/>
      </c>
    </row>
    <row r="507">
      <c r="A507" s="17" t="n"/>
      <c r="B507" s="17" t="n"/>
      <c r="C507" s="18" t="n"/>
      <c r="D507" s="19" t="n"/>
      <c r="E507" s="17" t="n"/>
      <c r="F507" s="21">
        <f>IF(OR(B507="",C507=""),"",IFERROR(INT(ROUND(IFERROR(TIMEVALUE(IF(LEN(C507)-LEN(SUBSTITUTE(C507,":",""))=2,"","0:")&amp;C507)*86400,"")/VALUE(SUBSTITUTE(B507,"K","")),0)/60)&amp;":"&amp;TEXT(MOD(ROUND(IFERROR(TIMEVALUE(IF(LEN(C507)-LEN(SUBSTITUTE(C507,":",""))=2,"","0:")&amp;C507)*86400,"")/VALUE(SUBSTITUTE(B507,"K","")),0),60),"00"),""))</f>
        <v/>
      </c>
      <c r="G507" s="21">
        <f>IF(A507="","",IF(COUNTIF(Atletas!$A$2:$A$302,A507)&gt;0,"Sí","No"))</f>
        <v/>
      </c>
    </row>
    <row r="508">
      <c r="A508" s="17" t="n"/>
      <c r="B508" s="17" t="n"/>
      <c r="C508" s="18" t="n"/>
      <c r="D508" s="19" t="n"/>
      <c r="E508" s="17" t="n"/>
      <c r="F508" s="21">
        <f>IF(OR(B508="",C508=""),"",IFERROR(INT(ROUND(IFERROR(TIMEVALUE(IF(LEN(C508)-LEN(SUBSTITUTE(C508,":",""))=2,"","0:")&amp;C508)*86400,"")/VALUE(SUBSTITUTE(B508,"K","")),0)/60)&amp;":"&amp;TEXT(MOD(ROUND(IFERROR(TIMEVALUE(IF(LEN(C508)-LEN(SUBSTITUTE(C508,":",""))=2,"","0:")&amp;C508)*86400,"")/VALUE(SUBSTITUTE(B508,"K","")),0),60),"00"),""))</f>
        <v/>
      </c>
      <c r="G508" s="21">
        <f>IF(A508="","",IF(COUNTIF(Atletas!$A$2:$A$302,A508)&gt;0,"Sí","No"))</f>
        <v/>
      </c>
    </row>
    <row r="509">
      <c r="A509" s="17" t="n"/>
      <c r="B509" s="17" t="n"/>
      <c r="C509" s="18" t="n"/>
      <c r="D509" s="19" t="n"/>
      <c r="E509" s="17" t="n"/>
      <c r="F509" s="21">
        <f>IF(OR(B509="",C509=""),"",IFERROR(INT(ROUND(IFERROR(TIMEVALUE(IF(LEN(C509)-LEN(SUBSTITUTE(C509,":",""))=2,"","0:")&amp;C509)*86400,"")/VALUE(SUBSTITUTE(B509,"K","")),0)/60)&amp;":"&amp;TEXT(MOD(ROUND(IFERROR(TIMEVALUE(IF(LEN(C509)-LEN(SUBSTITUTE(C509,":",""))=2,"","0:")&amp;C509)*86400,"")/VALUE(SUBSTITUTE(B509,"K","")),0),60),"00"),""))</f>
        <v/>
      </c>
      <c r="G509" s="21">
        <f>IF(A509="","",IF(COUNTIF(Atletas!$A$2:$A$302,A509)&gt;0,"Sí","No"))</f>
        <v/>
      </c>
    </row>
    <row r="510">
      <c r="A510" s="17" t="n"/>
      <c r="B510" s="17" t="n"/>
      <c r="C510" s="18" t="n"/>
      <c r="D510" s="19" t="n"/>
      <c r="E510" s="17" t="n"/>
      <c r="F510" s="21">
        <f>IF(OR(B510="",C510=""),"",IFERROR(INT(ROUND(IFERROR(TIMEVALUE(IF(LEN(C510)-LEN(SUBSTITUTE(C510,":",""))=2,"","0:")&amp;C510)*86400,"")/VALUE(SUBSTITUTE(B510,"K","")),0)/60)&amp;":"&amp;TEXT(MOD(ROUND(IFERROR(TIMEVALUE(IF(LEN(C510)-LEN(SUBSTITUTE(C510,":",""))=2,"","0:")&amp;C510)*86400,"")/VALUE(SUBSTITUTE(B510,"K","")),0),60),"00"),""))</f>
        <v/>
      </c>
      <c r="G510" s="21">
        <f>IF(A510="","",IF(COUNTIF(Atletas!$A$2:$A$302,A510)&gt;0,"Sí","No"))</f>
        <v/>
      </c>
    </row>
    <row r="511">
      <c r="A511" s="17" t="n"/>
      <c r="B511" s="17" t="n"/>
      <c r="C511" s="18" t="n"/>
      <c r="D511" s="19" t="n"/>
      <c r="E511" s="17" t="n"/>
      <c r="F511" s="21">
        <f>IF(OR(B511="",C511=""),"",IFERROR(INT(ROUND(IFERROR(TIMEVALUE(IF(LEN(C511)-LEN(SUBSTITUTE(C511,":",""))=2,"","0:")&amp;C511)*86400,"")/VALUE(SUBSTITUTE(B511,"K","")),0)/60)&amp;":"&amp;TEXT(MOD(ROUND(IFERROR(TIMEVALUE(IF(LEN(C511)-LEN(SUBSTITUTE(C511,":",""))=2,"","0:")&amp;C511)*86400,"")/VALUE(SUBSTITUTE(B511,"K","")),0),60),"00"),""))</f>
        <v/>
      </c>
      <c r="G511" s="21">
        <f>IF(A511="","",IF(COUNTIF(Atletas!$A$2:$A$302,A511)&gt;0,"Sí","No"))</f>
        <v/>
      </c>
    </row>
    <row r="512">
      <c r="A512" s="17" t="n"/>
      <c r="B512" s="17" t="n"/>
      <c r="C512" s="18" t="n"/>
      <c r="D512" s="19" t="n"/>
      <c r="E512" s="17" t="n"/>
      <c r="F512" s="21">
        <f>IF(OR(B512="",C512=""),"",IFERROR(INT(ROUND(IFERROR(TIMEVALUE(IF(LEN(C512)-LEN(SUBSTITUTE(C512,":",""))=2,"","0:")&amp;C512)*86400,"")/VALUE(SUBSTITUTE(B512,"K","")),0)/60)&amp;":"&amp;TEXT(MOD(ROUND(IFERROR(TIMEVALUE(IF(LEN(C512)-LEN(SUBSTITUTE(C512,":",""))=2,"","0:")&amp;C512)*86400,"")/VALUE(SUBSTITUTE(B512,"K","")),0),60),"00"),""))</f>
        <v/>
      </c>
      <c r="G512" s="21">
        <f>IF(A512="","",IF(COUNTIF(Atletas!$A$2:$A$302,A512)&gt;0,"Sí","No"))</f>
        <v/>
      </c>
    </row>
    <row r="513">
      <c r="A513" s="17" t="n"/>
      <c r="B513" s="17" t="n"/>
      <c r="C513" s="18" t="n"/>
      <c r="D513" s="19" t="n"/>
      <c r="E513" s="17" t="n"/>
      <c r="F513" s="21">
        <f>IF(OR(B513="",C513=""),"",IFERROR(INT(ROUND(IFERROR(TIMEVALUE(IF(LEN(C513)-LEN(SUBSTITUTE(C513,":",""))=2,"","0:")&amp;C513)*86400,"")/VALUE(SUBSTITUTE(B513,"K","")),0)/60)&amp;":"&amp;TEXT(MOD(ROUND(IFERROR(TIMEVALUE(IF(LEN(C513)-LEN(SUBSTITUTE(C513,":",""))=2,"","0:")&amp;C513)*86400,"")/VALUE(SUBSTITUTE(B513,"K","")),0),60),"00"),""))</f>
        <v/>
      </c>
      <c r="G513" s="21">
        <f>IF(A513="","",IF(COUNTIF(Atletas!$A$2:$A$302,A513)&gt;0,"Sí","No"))</f>
        <v/>
      </c>
    </row>
    <row r="514">
      <c r="A514" s="17" t="n"/>
      <c r="B514" s="17" t="n"/>
      <c r="C514" s="18" t="n"/>
      <c r="D514" s="19" t="n"/>
      <c r="E514" s="17" t="n"/>
      <c r="F514" s="21">
        <f>IF(OR(B514="",C514=""),"",IFERROR(INT(ROUND(IFERROR(TIMEVALUE(IF(LEN(C514)-LEN(SUBSTITUTE(C514,":",""))=2,"","0:")&amp;C514)*86400,"")/VALUE(SUBSTITUTE(B514,"K","")),0)/60)&amp;":"&amp;TEXT(MOD(ROUND(IFERROR(TIMEVALUE(IF(LEN(C514)-LEN(SUBSTITUTE(C514,":",""))=2,"","0:")&amp;C514)*86400,"")/VALUE(SUBSTITUTE(B514,"K","")),0),60),"00"),""))</f>
        <v/>
      </c>
      <c r="G514" s="21">
        <f>IF(A514="","",IF(COUNTIF(Atletas!$A$2:$A$302,A514)&gt;0,"Sí","No"))</f>
        <v/>
      </c>
    </row>
    <row r="515">
      <c r="A515" s="17" t="n"/>
      <c r="B515" s="17" t="n"/>
      <c r="C515" s="18" t="n"/>
      <c r="D515" s="19" t="n"/>
      <c r="E515" s="17" t="n"/>
      <c r="F515" s="21">
        <f>IF(OR(B515="",C515=""),"",IFERROR(INT(ROUND(IFERROR(TIMEVALUE(IF(LEN(C515)-LEN(SUBSTITUTE(C515,":",""))=2,"","0:")&amp;C515)*86400,"")/VALUE(SUBSTITUTE(B515,"K","")),0)/60)&amp;":"&amp;TEXT(MOD(ROUND(IFERROR(TIMEVALUE(IF(LEN(C515)-LEN(SUBSTITUTE(C515,":",""))=2,"","0:")&amp;C515)*86400,"")/VALUE(SUBSTITUTE(B515,"K","")),0),60),"00"),""))</f>
        <v/>
      </c>
      <c r="G515" s="21">
        <f>IF(A515="","",IF(COUNTIF(Atletas!$A$2:$A$302,A515)&gt;0,"Sí","No"))</f>
        <v/>
      </c>
    </row>
    <row r="516">
      <c r="A516" s="17" t="n"/>
      <c r="B516" s="17" t="n"/>
      <c r="C516" s="18" t="n"/>
      <c r="D516" s="19" t="n"/>
      <c r="E516" s="17" t="n"/>
      <c r="F516" s="21">
        <f>IF(OR(B516="",C516=""),"",IFERROR(INT(ROUND(IFERROR(TIMEVALUE(IF(LEN(C516)-LEN(SUBSTITUTE(C516,":",""))=2,"","0:")&amp;C516)*86400,"")/VALUE(SUBSTITUTE(B516,"K","")),0)/60)&amp;":"&amp;TEXT(MOD(ROUND(IFERROR(TIMEVALUE(IF(LEN(C516)-LEN(SUBSTITUTE(C516,":",""))=2,"","0:")&amp;C516)*86400,"")/VALUE(SUBSTITUTE(B516,"K","")),0),60),"00"),""))</f>
        <v/>
      </c>
      <c r="G516" s="21">
        <f>IF(A516="","",IF(COUNTIF(Atletas!$A$2:$A$302,A516)&gt;0,"Sí","No"))</f>
        <v/>
      </c>
    </row>
    <row r="517">
      <c r="A517" s="17" t="n"/>
      <c r="B517" s="17" t="n"/>
      <c r="C517" s="18" t="n"/>
      <c r="D517" s="19" t="n"/>
      <c r="E517" s="17" t="n"/>
      <c r="F517" s="21">
        <f>IF(OR(B517="",C517=""),"",IFERROR(INT(ROUND(IFERROR(TIMEVALUE(IF(LEN(C517)-LEN(SUBSTITUTE(C517,":",""))=2,"","0:")&amp;C517)*86400,"")/VALUE(SUBSTITUTE(B517,"K","")),0)/60)&amp;":"&amp;TEXT(MOD(ROUND(IFERROR(TIMEVALUE(IF(LEN(C517)-LEN(SUBSTITUTE(C517,":",""))=2,"","0:")&amp;C517)*86400,"")/VALUE(SUBSTITUTE(B517,"K","")),0),60),"00"),""))</f>
        <v/>
      </c>
      <c r="G517" s="21">
        <f>IF(A517="","",IF(COUNTIF(Atletas!$A$2:$A$302,A517)&gt;0,"Sí","No"))</f>
        <v/>
      </c>
    </row>
    <row r="518">
      <c r="A518" s="17" t="n"/>
      <c r="B518" s="17" t="n"/>
      <c r="C518" s="18" t="n"/>
      <c r="D518" s="19" t="n"/>
      <c r="E518" s="17" t="n"/>
      <c r="F518" s="21">
        <f>IF(OR(B518="",C518=""),"",IFERROR(INT(ROUND(IFERROR(TIMEVALUE(IF(LEN(C518)-LEN(SUBSTITUTE(C518,":",""))=2,"","0:")&amp;C518)*86400,"")/VALUE(SUBSTITUTE(B518,"K","")),0)/60)&amp;":"&amp;TEXT(MOD(ROUND(IFERROR(TIMEVALUE(IF(LEN(C518)-LEN(SUBSTITUTE(C518,":",""))=2,"","0:")&amp;C518)*86400,"")/VALUE(SUBSTITUTE(B518,"K","")),0),60),"00"),""))</f>
        <v/>
      </c>
      <c r="G518" s="21">
        <f>IF(A518="","",IF(COUNTIF(Atletas!$A$2:$A$302,A518)&gt;0,"Sí","No"))</f>
        <v/>
      </c>
    </row>
    <row r="519">
      <c r="A519" s="17" t="n"/>
      <c r="B519" s="17" t="n"/>
      <c r="C519" s="18" t="n"/>
      <c r="D519" s="19" t="n"/>
      <c r="E519" s="17" t="n"/>
      <c r="F519" s="21">
        <f>IF(OR(B519="",C519=""),"",IFERROR(INT(ROUND(IFERROR(TIMEVALUE(IF(LEN(C519)-LEN(SUBSTITUTE(C519,":",""))=2,"","0:")&amp;C519)*86400,"")/VALUE(SUBSTITUTE(B519,"K","")),0)/60)&amp;":"&amp;TEXT(MOD(ROUND(IFERROR(TIMEVALUE(IF(LEN(C519)-LEN(SUBSTITUTE(C519,":",""))=2,"","0:")&amp;C519)*86400,"")/VALUE(SUBSTITUTE(B519,"K","")),0),60),"00"),""))</f>
        <v/>
      </c>
      <c r="G519" s="21">
        <f>IF(A519="","",IF(COUNTIF(Atletas!$A$2:$A$302,A519)&gt;0,"Sí","No"))</f>
        <v/>
      </c>
    </row>
    <row r="520">
      <c r="A520" s="17" t="n"/>
      <c r="B520" s="17" t="n"/>
      <c r="C520" s="18" t="n"/>
      <c r="D520" s="19" t="n"/>
      <c r="E520" s="17" t="n"/>
      <c r="F520" s="21">
        <f>IF(OR(B520="",C520=""),"",IFERROR(INT(ROUND(IFERROR(TIMEVALUE(IF(LEN(C520)-LEN(SUBSTITUTE(C520,":",""))=2,"","0:")&amp;C520)*86400,"")/VALUE(SUBSTITUTE(B520,"K","")),0)/60)&amp;":"&amp;TEXT(MOD(ROUND(IFERROR(TIMEVALUE(IF(LEN(C520)-LEN(SUBSTITUTE(C520,":",""))=2,"","0:")&amp;C520)*86400,"")/VALUE(SUBSTITUTE(B520,"K","")),0),60),"00"),""))</f>
        <v/>
      </c>
      <c r="G520" s="21">
        <f>IF(A520="","",IF(COUNTIF(Atletas!$A$2:$A$302,A520)&gt;0,"Sí","No"))</f>
        <v/>
      </c>
    </row>
    <row r="521">
      <c r="A521" s="17" t="n"/>
      <c r="B521" s="17" t="n"/>
      <c r="C521" s="18" t="n"/>
      <c r="D521" s="19" t="n"/>
      <c r="E521" s="17" t="n"/>
      <c r="F521" s="21">
        <f>IF(OR(B521="",C521=""),"",IFERROR(INT(ROUND(IFERROR(TIMEVALUE(IF(LEN(C521)-LEN(SUBSTITUTE(C521,":",""))=2,"","0:")&amp;C521)*86400,"")/VALUE(SUBSTITUTE(B521,"K","")),0)/60)&amp;":"&amp;TEXT(MOD(ROUND(IFERROR(TIMEVALUE(IF(LEN(C521)-LEN(SUBSTITUTE(C521,":",""))=2,"","0:")&amp;C521)*86400,"")/VALUE(SUBSTITUTE(B521,"K","")),0),60),"00"),""))</f>
        <v/>
      </c>
      <c r="G521" s="21">
        <f>IF(A521="","",IF(COUNTIF(Atletas!$A$2:$A$302,A521)&gt;0,"Sí","No"))</f>
        <v/>
      </c>
    </row>
    <row r="522">
      <c r="A522" s="17" t="n"/>
      <c r="B522" s="17" t="n"/>
      <c r="C522" s="18" t="n"/>
      <c r="D522" s="19" t="n"/>
      <c r="E522" s="17" t="n"/>
      <c r="F522" s="21">
        <f>IF(OR(B522="",C522=""),"",IFERROR(INT(ROUND(IFERROR(TIMEVALUE(IF(LEN(C522)-LEN(SUBSTITUTE(C522,":",""))=2,"","0:")&amp;C522)*86400,"")/VALUE(SUBSTITUTE(B522,"K","")),0)/60)&amp;":"&amp;TEXT(MOD(ROUND(IFERROR(TIMEVALUE(IF(LEN(C522)-LEN(SUBSTITUTE(C522,":",""))=2,"","0:")&amp;C522)*86400,"")/VALUE(SUBSTITUTE(B522,"K","")),0),60),"00"),""))</f>
        <v/>
      </c>
      <c r="G522" s="21">
        <f>IF(A522="","",IF(COUNTIF(Atletas!$A$2:$A$302,A522)&gt;0,"Sí","No"))</f>
        <v/>
      </c>
    </row>
    <row r="523">
      <c r="A523" s="17" t="n"/>
      <c r="B523" s="17" t="n"/>
      <c r="C523" s="18" t="n"/>
      <c r="D523" s="19" t="n"/>
      <c r="E523" s="17" t="n"/>
      <c r="F523" s="21">
        <f>IF(OR(B523="",C523=""),"",IFERROR(INT(ROUND(IFERROR(TIMEVALUE(IF(LEN(C523)-LEN(SUBSTITUTE(C523,":",""))=2,"","0:")&amp;C523)*86400,"")/VALUE(SUBSTITUTE(B523,"K","")),0)/60)&amp;":"&amp;TEXT(MOD(ROUND(IFERROR(TIMEVALUE(IF(LEN(C523)-LEN(SUBSTITUTE(C523,":",""))=2,"","0:")&amp;C523)*86400,"")/VALUE(SUBSTITUTE(B523,"K","")),0),60),"00"),""))</f>
        <v/>
      </c>
      <c r="G523" s="21">
        <f>IF(A523="","",IF(COUNTIF(Atletas!$A$2:$A$302,A523)&gt;0,"Sí","No"))</f>
        <v/>
      </c>
    </row>
    <row r="524">
      <c r="A524" s="17" t="n"/>
      <c r="B524" s="17" t="n"/>
      <c r="C524" s="18" t="n"/>
      <c r="D524" s="19" t="n"/>
      <c r="E524" s="17" t="n"/>
      <c r="F524" s="21">
        <f>IF(OR(B524="",C524=""),"",IFERROR(INT(ROUND(IFERROR(TIMEVALUE(IF(LEN(C524)-LEN(SUBSTITUTE(C524,":",""))=2,"","0:")&amp;C524)*86400,"")/VALUE(SUBSTITUTE(B524,"K","")),0)/60)&amp;":"&amp;TEXT(MOD(ROUND(IFERROR(TIMEVALUE(IF(LEN(C524)-LEN(SUBSTITUTE(C524,":",""))=2,"","0:")&amp;C524)*86400,"")/VALUE(SUBSTITUTE(B524,"K","")),0),60),"00"),""))</f>
        <v/>
      </c>
      <c r="G524" s="21">
        <f>IF(A524="","",IF(COUNTIF(Atletas!$A$2:$A$302,A524)&gt;0,"Sí","No"))</f>
        <v/>
      </c>
    </row>
    <row r="525">
      <c r="A525" s="17" t="n"/>
      <c r="B525" s="17" t="n"/>
      <c r="C525" s="18" t="n"/>
      <c r="D525" s="19" t="n"/>
      <c r="E525" s="17" t="n"/>
      <c r="F525" s="21">
        <f>IF(OR(B525="",C525=""),"",IFERROR(INT(ROUND(IFERROR(TIMEVALUE(IF(LEN(C525)-LEN(SUBSTITUTE(C525,":",""))=2,"","0:")&amp;C525)*86400,"")/VALUE(SUBSTITUTE(B525,"K","")),0)/60)&amp;":"&amp;TEXT(MOD(ROUND(IFERROR(TIMEVALUE(IF(LEN(C525)-LEN(SUBSTITUTE(C525,":",""))=2,"","0:")&amp;C525)*86400,"")/VALUE(SUBSTITUTE(B525,"K","")),0),60),"00"),""))</f>
        <v/>
      </c>
      <c r="G525" s="21">
        <f>IF(A525="","",IF(COUNTIF(Atletas!$A$2:$A$302,A525)&gt;0,"Sí","No"))</f>
        <v/>
      </c>
    </row>
    <row r="526">
      <c r="A526" s="17" t="n"/>
      <c r="B526" s="17" t="n"/>
      <c r="C526" s="18" t="n"/>
      <c r="D526" s="19" t="n"/>
      <c r="E526" s="17" t="n"/>
      <c r="F526" s="21">
        <f>IF(OR(B526="",C526=""),"",IFERROR(INT(ROUND(IFERROR(TIMEVALUE(IF(LEN(C526)-LEN(SUBSTITUTE(C526,":",""))=2,"","0:")&amp;C526)*86400,"")/VALUE(SUBSTITUTE(B526,"K","")),0)/60)&amp;":"&amp;TEXT(MOD(ROUND(IFERROR(TIMEVALUE(IF(LEN(C526)-LEN(SUBSTITUTE(C526,":",""))=2,"","0:")&amp;C526)*86400,"")/VALUE(SUBSTITUTE(B526,"K","")),0),60),"00"),""))</f>
        <v/>
      </c>
      <c r="G526" s="21">
        <f>IF(A526="","",IF(COUNTIF(Atletas!$A$2:$A$302,A526)&gt;0,"Sí","No"))</f>
        <v/>
      </c>
    </row>
    <row r="527">
      <c r="A527" s="17" t="n"/>
      <c r="B527" s="17" t="n"/>
      <c r="C527" s="18" t="n"/>
      <c r="D527" s="19" t="n"/>
      <c r="E527" s="17" t="n"/>
      <c r="F527" s="21">
        <f>IF(OR(B527="",C527=""),"",IFERROR(INT(ROUND(IFERROR(TIMEVALUE(IF(LEN(C527)-LEN(SUBSTITUTE(C527,":",""))=2,"","0:")&amp;C527)*86400,"")/VALUE(SUBSTITUTE(B527,"K","")),0)/60)&amp;":"&amp;TEXT(MOD(ROUND(IFERROR(TIMEVALUE(IF(LEN(C527)-LEN(SUBSTITUTE(C527,":",""))=2,"","0:")&amp;C527)*86400,"")/VALUE(SUBSTITUTE(B527,"K","")),0),60),"00"),""))</f>
        <v/>
      </c>
      <c r="G527" s="21">
        <f>IF(A527="","",IF(COUNTIF(Atletas!$A$2:$A$302,A527)&gt;0,"Sí","No"))</f>
        <v/>
      </c>
    </row>
    <row r="528">
      <c r="A528" s="17" t="n"/>
      <c r="B528" s="17" t="n"/>
      <c r="C528" s="18" t="n"/>
      <c r="D528" s="19" t="n"/>
      <c r="E528" s="17" t="n"/>
      <c r="F528" s="21">
        <f>IF(OR(B528="",C528=""),"",IFERROR(INT(ROUND(IFERROR(TIMEVALUE(IF(LEN(C528)-LEN(SUBSTITUTE(C528,":",""))=2,"","0:")&amp;C528)*86400,"")/VALUE(SUBSTITUTE(B528,"K","")),0)/60)&amp;":"&amp;TEXT(MOD(ROUND(IFERROR(TIMEVALUE(IF(LEN(C528)-LEN(SUBSTITUTE(C528,":",""))=2,"","0:")&amp;C528)*86400,"")/VALUE(SUBSTITUTE(B528,"K","")),0),60),"00"),""))</f>
        <v/>
      </c>
      <c r="G528" s="21">
        <f>IF(A528="","",IF(COUNTIF(Atletas!$A$2:$A$302,A528)&gt;0,"Sí","No"))</f>
        <v/>
      </c>
    </row>
    <row r="529">
      <c r="A529" s="17" t="n"/>
      <c r="B529" s="17" t="n"/>
      <c r="C529" s="18" t="n"/>
      <c r="D529" s="19" t="n"/>
      <c r="E529" s="17" t="n"/>
      <c r="F529" s="21">
        <f>IF(OR(B529="",C529=""),"",IFERROR(INT(ROUND(IFERROR(TIMEVALUE(IF(LEN(C529)-LEN(SUBSTITUTE(C529,":",""))=2,"","0:")&amp;C529)*86400,"")/VALUE(SUBSTITUTE(B529,"K","")),0)/60)&amp;":"&amp;TEXT(MOD(ROUND(IFERROR(TIMEVALUE(IF(LEN(C529)-LEN(SUBSTITUTE(C529,":",""))=2,"","0:")&amp;C529)*86400,"")/VALUE(SUBSTITUTE(B529,"K","")),0),60),"00"),""))</f>
        <v/>
      </c>
      <c r="G529" s="21">
        <f>IF(A529="","",IF(COUNTIF(Atletas!$A$2:$A$302,A529)&gt;0,"Sí","No"))</f>
        <v/>
      </c>
    </row>
    <row r="530">
      <c r="A530" s="17" t="n"/>
      <c r="B530" s="17" t="n"/>
      <c r="C530" s="18" t="n"/>
      <c r="D530" s="19" t="n"/>
      <c r="E530" s="17" t="n"/>
      <c r="F530" s="21">
        <f>IF(OR(B530="",C530=""),"",IFERROR(INT(ROUND(IFERROR(TIMEVALUE(IF(LEN(C530)-LEN(SUBSTITUTE(C530,":",""))=2,"","0:")&amp;C530)*86400,"")/VALUE(SUBSTITUTE(B530,"K","")),0)/60)&amp;":"&amp;TEXT(MOD(ROUND(IFERROR(TIMEVALUE(IF(LEN(C530)-LEN(SUBSTITUTE(C530,":",""))=2,"","0:")&amp;C530)*86400,"")/VALUE(SUBSTITUTE(B530,"K","")),0),60),"00"),""))</f>
        <v/>
      </c>
      <c r="G530" s="21">
        <f>IF(A530="","",IF(COUNTIF(Atletas!$A$2:$A$302,A530)&gt;0,"Sí","No"))</f>
        <v/>
      </c>
    </row>
    <row r="531">
      <c r="A531" s="17" t="n"/>
      <c r="B531" s="17" t="n"/>
      <c r="C531" s="18" t="n"/>
      <c r="D531" s="19" t="n"/>
      <c r="E531" s="17" t="n"/>
      <c r="F531" s="21">
        <f>IF(OR(B531="",C531=""),"",IFERROR(INT(ROUND(IFERROR(TIMEVALUE(IF(LEN(C531)-LEN(SUBSTITUTE(C531,":",""))=2,"","0:")&amp;C531)*86400,"")/VALUE(SUBSTITUTE(B531,"K","")),0)/60)&amp;":"&amp;TEXT(MOD(ROUND(IFERROR(TIMEVALUE(IF(LEN(C531)-LEN(SUBSTITUTE(C531,":",""))=2,"","0:")&amp;C531)*86400,"")/VALUE(SUBSTITUTE(B531,"K","")),0),60),"00"),""))</f>
        <v/>
      </c>
      <c r="G531" s="21">
        <f>IF(A531="","",IF(COUNTIF(Atletas!$A$2:$A$302,A531)&gt;0,"Sí","No"))</f>
        <v/>
      </c>
    </row>
    <row r="532">
      <c r="A532" s="17" t="n"/>
      <c r="B532" s="17" t="n"/>
      <c r="C532" s="18" t="n"/>
      <c r="D532" s="19" t="n"/>
      <c r="E532" s="17" t="n"/>
      <c r="F532" s="21">
        <f>IF(OR(B532="",C532=""),"",IFERROR(INT(ROUND(IFERROR(TIMEVALUE(IF(LEN(C532)-LEN(SUBSTITUTE(C532,":",""))=2,"","0:")&amp;C532)*86400,"")/VALUE(SUBSTITUTE(B532,"K","")),0)/60)&amp;":"&amp;TEXT(MOD(ROUND(IFERROR(TIMEVALUE(IF(LEN(C532)-LEN(SUBSTITUTE(C532,":",""))=2,"","0:")&amp;C532)*86400,"")/VALUE(SUBSTITUTE(B532,"K","")),0),60),"00"),""))</f>
        <v/>
      </c>
      <c r="G532" s="21">
        <f>IF(A532="","",IF(COUNTIF(Atletas!$A$2:$A$302,A532)&gt;0,"Sí","No"))</f>
        <v/>
      </c>
    </row>
    <row r="533">
      <c r="A533" s="17" t="n"/>
      <c r="B533" s="17" t="n"/>
      <c r="C533" s="18" t="n"/>
      <c r="D533" s="19" t="n"/>
      <c r="E533" s="17" t="n"/>
      <c r="F533" s="21">
        <f>IF(OR(B533="",C533=""),"",IFERROR(INT(ROUND(IFERROR(TIMEVALUE(IF(LEN(C533)-LEN(SUBSTITUTE(C533,":",""))=2,"","0:")&amp;C533)*86400,"")/VALUE(SUBSTITUTE(B533,"K","")),0)/60)&amp;":"&amp;TEXT(MOD(ROUND(IFERROR(TIMEVALUE(IF(LEN(C533)-LEN(SUBSTITUTE(C533,":",""))=2,"","0:")&amp;C533)*86400,"")/VALUE(SUBSTITUTE(B533,"K","")),0),60),"00"),""))</f>
        <v/>
      </c>
      <c r="G533" s="21">
        <f>IF(A533="","",IF(COUNTIF(Atletas!$A$2:$A$302,A533)&gt;0,"Sí","No"))</f>
        <v/>
      </c>
    </row>
    <row r="534">
      <c r="A534" s="17" t="n"/>
      <c r="B534" s="17" t="n"/>
      <c r="C534" s="18" t="n"/>
      <c r="D534" s="19" t="n"/>
      <c r="E534" s="17" t="n"/>
      <c r="F534" s="21">
        <f>IF(OR(B534="",C534=""),"",IFERROR(INT(ROUND(IFERROR(TIMEVALUE(IF(LEN(C534)-LEN(SUBSTITUTE(C534,":",""))=2,"","0:")&amp;C534)*86400,"")/VALUE(SUBSTITUTE(B534,"K","")),0)/60)&amp;":"&amp;TEXT(MOD(ROUND(IFERROR(TIMEVALUE(IF(LEN(C534)-LEN(SUBSTITUTE(C534,":",""))=2,"","0:")&amp;C534)*86400,"")/VALUE(SUBSTITUTE(B534,"K","")),0),60),"00"),""))</f>
        <v/>
      </c>
      <c r="G534" s="21">
        <f>IF(A534="","",IF(COUNTIF(Atletas!$A$2:$A$302,A534)&gt;0,"Sí","No"))</f>
        <v/>
      </c>
    </row>
    <row r="535">
      <c r="A535" s="17" t="n"/>
      <c r="B535" s="17" t="n"/>
      <c r="C535" s="18" t="n"/>
      <c r="D535" s="19" t="n"/>
      <c r="E535" s="17" t="n"/>
      <c r="F535" s="21">
        <f>IF(OR(B535="",C535=""),"",IFERROR(INT(ROUND(IFERROR(TIMEVALUE(IF(LEN(C535)-LEN(SUBSTITUTE(C535,":",""))=2,"","0:")&amp;C535)*86400,"")/VALUE(SUBSTITUTE(B535,"K","")),0)/60)&amp;":"&amp;TEXT(MOD(ROUND(IFERROR(TIMEVALUE(IF(LEN(C535)-LEN(SUBSTITUTE(C535,":",""))=2,"","0:")&amp;C535)*86400,"")/VALUE(SUBSTITUTE(B535,"K","")),0),60),"00"),""))</f>
        <v/>
      </c>
      <c r="G535" s="21">
        <f>IF(A535="","",IF(COUNTIF(Atletas!$A$2:$A$302,A535)&gt;0,"Sí","No"))</f>
        <v/>
      </c>
    </row>
    <row r="536">
      <c r="A536" s="17" t="n"/>
      <c r="B536" s="17" t="n"/>
      <c r="C536" s="18" t="n"/>
      <c r="D536" s="19" t="n"/>
      <c r="E536" s="17" t="n"/>
      <c r="F536" s="21">
        <f>IF(OR(B536="",C536=""),"",IFERROR(INT(ROUND(IFERROR(TIMEVALUE(IF(LEN(C536)-LEN(SUBSTITUTE(C536,":",""))=2,"","0:")&amp;C536)*86400,"")/VALUE(SUBSTITUTE(B536,"K","")),0)/60)&amp;":"&amp;TEXT(MOD(ROUND(IFERROR(TIMEVALUE(IF(LEN(C536)-LEN(SUBSTITUTE(C536,":",""))=2,"","0:")&amp;C536)*86400,"")/VALUE(SUBSTITUTE(B536,"K","")),0),60),"00"),""))</f>
        <v/>
      </c>
      <c r="G536" s="21">
        <f>IF(A536="","",IF(COUNTIF(Atletas!$A$2:$A$302,A536)&gt;0,"Sí","No"))</f>
        <v/>
      </c>
    </row>
    <row r="537">
      <c r="A537" s="17" t="n"/>
      <c r="B537" s="17" t="n"/>
      <c r="C537" s="18" t="n"/>
      <c r="D537" s="19" t="n"/>
      <c r="E537" s="17" t="n"/>
      <c r="F537" s="21">
        <f>IF(OR(B537="",C537=""),"",IFERROR(INT(ROUND(IFERROR(TIMEVALUE(IF(LEN(C537)-LEN(SUBSTITUTE(C537,":",""))=2,"","0:")&amp;C537)*86400,"")/VALUE(SUBSTITUTE(B537,"K","")),0)/60)&amp;":"&amp;TEXT(MOD(ROUND(IFERROR(TIMEVALUE(IF(LEN(C537)-LEN(SUBSTITUTE(C537,":",""))=2,"","0:")&amp;C537)*86400,"")/VALUE(SUBSTITUTE(B537,"K","")),0),60),"00"),""))</f>
        <v/>
      </c>
      <c r="G537" s="21">
        <f>IF(A537="","",IF(COUNTIF(Atletas!$A$2:$A$302,A537)&gt;0,"Sí","No"))</f>
        <v/>
      </c>
    </row>
    <row r="538">
      <c r="A538" s="17" t="n"/>
      <c r="B538" s="17" t="n"/>
      <c r="C538" s="18" t="n"/>
      <c r="D538" s="19" t="n"/>
      <c r="E538" s="17" t="n"/>
      <c r="F538" s="21">
        <f>IF(OR(B538="",C538=""),"",IFERROR(INT(ROUND(IFERROR(TIMEVALUE(IF(LEN(C538)-LEN(SUBSTITUTE(C538,":",""))=2,"","0:")&amp;C538)*86400,"")/VALUE(SUBSTITUTE(B538,"K","")),0)/60)&amp;":"&amp;TEXT(MOD(ROUND(IFERROR(TIMEVALUE(IF(LEN(C538)-LEN(SUBSTITUTE(C538,":",""))=2,"","0:")&amp;C538)*86400,"")/VALUE(SUBSTITUTE(B538,"K","")),0),60),"00"),""))</f>
        <v/>
      </c>
      <c r="G538" s="21">
        <f>IF(A538="","",IF(COUNTIF(Atletas!$A$2:$A$302,A538)&gt;0,"Sí","No"))</f>
        <v/>
      </c>
    </row>
    <row r="539">
      <c r="A539" s="17" t="n"/>
      <c r="B539" s="17" t="n"/>
      <c r="C539" s="18" t="n"/>
      <c r="D539" s="19" t="n"/>
      <c r="E539" s="17" t="n"/>
      <c r="F539" s="21">
        <f>IF(OR(B539="",C539=""),"",IFERROR(INT(ROUND(IFERROR(TIMEVALUE(IF(LEN(C539)-LEN(SUBSTITUTE(C539,":",""))=2,"","0:")&amp;C539)*86400,"")/VALUE(SUBSTITUTE(B539,"K","")),0)/60)&amp;":"&amp;TEXT(MOD(ROUND(IFERROR(TIMEVALUE(IF(LEN(C539)-LEN(SUBSTITUTE(C539,":",""))=2,"","0:")&amp;C539)*86400,"")/VALUE(SUBSTITUTE(B539,"K","")),0),60),"00"),""))</f>
        <v/>
      </c>
      <c r="G539" s="21">
        <f>IF(A539="","",IF(COUNTIF(Atletas!$A$2:$A$302,A539)&gt;0,"Sí","No"))</f>
        <v/>
      </c>
    </row>
    <row r="540">
      <c r="A540" s="17" t="n"/>
      <c r="B540" s="17" t="n"/>
      <c r="C540" s="18" t="n"/>
      <c r="D540" s="19" t="n"/>
      <c r="E540" s="17" t="n"/>
      <c r="F540" s="21">
        <f>IF(OR(B540="",C540=""),"",IFERROR(INT(ROUND(IFERROR(TIMEVALUE(IF(LEN(C540)-LEN(SUBSTITUTE(C540,":",""))=2,"","0:")&amp;C540)*86400,"")/VALUE(SUBSTITUTE(B540,"K","")),0)/60)&amp;":"&amp;TEXT(MOD(ROUND(IFERROR(TIMEVALUE(IF(LEN(C540)-LEN(SUBSTITUTE(C540,":",""))=2,"","0:")&amp;C540)*86400,"")/VALUE(SUBSTITUTE(B540,"K","")),0),60),"00"),""))</f>
        <v/>
      </c>
      <c r="G540" s="21">
        <f>IF(A540="","",IF(COUNTIF(Atletas!$A$2:$A$302,A540)&gt;0,"Sí","No"))</f>
        <v/>
      </c>
    </row>
    <row r="541">
      <c r="A541" s="17" t="n"/>
      <c r="B541" s="17" t="n"/>
      <c r="C541" s="18" t="n"/>
      <c r="D541" s="19" t="n"/>
      <c r="E541" s="17" t="n"/>
      <c r="F541" s="21">
        <f>IF(OR(B541="",C541=""),"",IFERROR(INT(ROUND(IFERROR(TIMEVALUE(IF(LEN(C541)-LEN(SUBSTITUTE(C541,":",""))=2,"","0:")&amp;C541)*86400,"")/VALUE(SUBSTITUTE(B541,"K","")),0)/60)&amp;":"&amp;TEXT(MOD(ROUND(IFERROR(TIMEVALUE(IF(LEN(C541)-LEN(SUBSTITUTE(C541,":",""))=2,"","0:")&amp;C541)*86400,"")/VALUE(SUBSTITUTE(B541,"K","")),0),60),"00"),""))</f>
        <v/>
      </c>
      <c r="G541" s="21">
        <f>IF(A541="","",IF(COUNTIF(Atletas!$A$2:$A$302,A541)&gt;0,"Sí","No"))</f>
        <v/>
      </c>
    </row>
    <row r="542">
      <c r="A542" s="17" t="n"/>
      <c r="B542" s="17" t="n"/>
      <c r="C542" s="18" t="n"/>
      <c r="D542" s="19" t="n"/>
      <c r="E542" s="17" t="n"/>
      <c r="F542" s="21">
        <f>IF(OR(B542="",C542=""),"",IFERROR(INT(ROUND(IFERROR(TIMEVALUE(IF(LEN(C542)-LEN(SUBSTITUTE(C542,":",""))=2,"","0:")&amp;C542)*86400,"")/VALUE(SUBSTITUTE(B542,"K","")),0)/60)&amp;":"&amp;TEXT(MOD(ROUND(IFERROR(TIMEVALUE(IF(LEN(C542)-LEN(SUBSTITUTE(C542,":",""))=2,"","0:")&amp;C542)*86400,"")/VALUE(SUBSTITUTE(B542,"K","")),0),60),"00"),""))</f>
        <v/>
      </c>
      <c r="G542" s="21">
        <f>IF(A542="","",IF(COUNTIF(Atletas!$A$2:$A$302,A542)&gt;0,"Sí","No"))</f>
        <v/>
      </c>
    </row>
    <row r="543">
      <c r="A543" s="17" t="n"/>
      <c r="B543" s="17" t="n"/>
      <c r="C543" s="18" t="n"/>
      <c r="D543" s="19" t="n"/>
      <c r="E543" s="17" t="n"/>
      <c r="F543" s="21">
        <f>IF(OR(B543="",C543=""),"",IFERROR(INT(ROUND(IFERROR(TIMEVALUE(IF(LEN(C543)-LEN(SUBSTITUTE(C543,":",""))=2,"","0:")&amp;C543)*86400,"")/VALUE(SUBSTITUTE(B543,"K","")),0)/60)&amp;":"&amp;TEXT(MOD(ROUND(IFERROR(TIMEVALUE(IF(LEN(C543)-LEN(SUBSTITUTE(C543,":",""))=2,"","0:")&amp;C543)*86400,"")/VALUE(SUBSTITUTE(B543,"K","")),0),60),"00"),""))</f>
        <v/>
      </c>
      <c r="G543" s="21">
        <f>IF(A543="","",IF(COUNTIF(Atletas!$A$2:$A$302,A543)&gt;0,"Sí","No"))</f>
        <v/>
      </c>
    </row>
    <row r="544">
      <c r="A544" s="17" t="n"/>
      <c r="B544" s="17" t="n"/>
      <c r="C544" s="18" t="n"/>
      <c r="D544" s="19" t="n"/>
      <c r="E544" s="17" t="n"/>
      <c r="F544" s="21">
        <f>IF(OR(B544="",C544=""),"",IFERROR(INT(ROUND(IFERROR(TIMEVALUE(IF(LEN(C544)-LEN(SUBSTITUTE(C544,":",""))=2,"","0:")&amp;C544)*86400,"")/VALUE(SUBSTITUTE(B544,"K","")),0)/60)&amp;":"&amp;TEXT(MOD(ROUND(IFERROR(TIMEVALUE(IF(LEN(C544)-LEN(SUBSTITUTE(C544,":",""))=2,"","0:")&amp;C544)*86400,"")/VALUE(SUBSTITUTE(B544,"K","")),0),60),"00"),""))</f>
        <v/>
      </c>
      <c r="G544" s="21">
        <f>IF(A544="","",IF(COUNTIF(Atletas!$A$2:$A$302,A544)&gt;0,"Sí","No"))</f>
        <v/>
      </c>
    </row>
    <row r="545">
      <c r="A545" s="17" t="n"/>
      <c r="B545" s="17" t="n"/>
      <c r="C545" s="18" t="n"/>
      <c r="D545" s="19" t="n"/>
      <c r="E545" s="17" t="n"/>
      <c r="F545" s="21">
        <f>IF(OR(B545="",C545=""),"",IFERROR(INT(ROUND(IFERROR(TIMEVALUE(IF(LEN(C545)-LEN(SUBSTITUTE(C545,":",""))=2,"","0:")&amp;C545)*86400,"")/VALUE(SUBSTITUTE(B545,"K","")),0)/60)&amp;":"&amp;TEXT(MOD(ROUND(IFERROR(TIMEVALUE(IF(LEN(C545)-LEN(SUBSTITUTE(C545,":",""))=2,"","0:")&amp;C545)*86400,"")/VALUE(SUBSTITUTE(B545,"K","")),0),60),"00"),""))</f>
        <v/>
      </c>
      <c r="G545" s="21">
        <f>IF(A545="","",IF(COUNTIF(Atletas!$A$2:$A$302,A545)&gt;0,"Sí","No"))</f>
        <v/>
      </c>
    </row>
    <row r="546">
      <c r="A546" s="17" t="n"/>
      <c r="B546" s="17" t="n"/>
      <c r="C546" s="18" t="n"/>
      <c r="D546" s="19" t="n"/>
      <c r="E546" s="17" t="n"/>
      <c r="F546" s="21">
        <f>IF(OR(B546="",C546=""),"",IFERROR(INT(ROUND(IFERROR(TIMEVALUE(IF(LEN(C546)-LEN(SUBSTITUTE(C546,":",""))=2,"","0:")&amp;C546)*86400,"")/VALUE(SUBSTITUTE(B546,"K","")),0)/60)&amp;":"&amp;TEXT(MOD(ROUND(IFERROR(TIMEVALUE(IF(LEN(C546)-LEN(SUBSTITUTE(C546,":",""))=2,"","0:")&amp;C546)*86400,"")/VALUE(SUBSTITUTE(B546,"K","")),0),60),"00"),""))</f>
        <v/>
      </c>
      <c r="G546" s="21">
        <f>IF(A546="","",IF(COUNTIF(Atletas!$A$2:$A$302,A546)&gt;0,"Sí","No"))</f>
        <v/>
      </c>
    </row>
    <row r="547">
      <c r="A547" s="17" t="n"/>
      <c r="B547" s="17" t="n"/>
      <c r="C547" s="18" t="n"/>
      <c r="D547" s="19" t="n"/>
      <c r="E547" s="17" t="n"/>
      <c r="F547" s="21">
        <f>IF(OR(B547="",C547=""),"",IFERROR(INT(ROUND(IFERROR(TIMEVALUE(IF(LEN(C547)-LEN(SUBSTITUTE(C547,":",""))=2,"","0:")&amp;C547)*86400,"")/VALUE(SUBSTITUTE(B547,"K","")),0)/60)&amp;":"&amp;TEXT(MOD(ROUND(IFERROR(TIMEVALUE(IF(LEN(C547)-LEN(SUBSTITUTE(C547,":",""))=2,"","0:")&amp;C547)*86400,"")/VALUE(SUBSTITUTE(B547,"K","")),0),60),"00"),""))</f>
        <v/>
      </c>
      <c r="G547" s="21">
        <f>IF(A547="","",IF(COUNTIF(Atletas!$A$2:$A$302,A547)&gt;0,"Sí","No"))</f>
        <v/>
      </c>
    </row>
    <row r="548">
      <c r="A548" s="17" t="n"/>
      <c r="B548" s="17" t="n"/>
      <c r="C548" s="18" t="n"/>
      <c r="D548" s="19" t="n"/>
      <c r="E548" s="17" t="n"/>
      <c r="F548" s="21">
        <f>IF(OR(B548="",C548=""),"",IFERROR(INT(ROUND(IFERROR(TIMEVALUE(IF(LEN(C548)-LEN(SUBSTITUTE(C548,":",""))=2,"","0:")&amp;C548)*86400,"")/VALUE(SUBSTITUTE(B548,"K","")),0)/60)&amp;":"&amp;TEXT(MOD(ROUND(IFERROR(TIMEVALUE(IF(LEN(C548)-LEN(SUBSTITUTE(C548,":",""))=2,"","0:")&amp;C548)*86400,"")/VALUE(SUBSTITUTE(B548,"K","")),0),60),"00"),""))</f>
        <v/>
      </c>
      <c r="G548" s="21">
        <f>IF(A548="","",IF(COUNTIF(Atletas!$A$2:$A$302,A548)&gt;0,"Sí","No"))</f>
        <v/>
      </c>
    </row>
    <row r="549">
      <c r="A549" s="17" t="n"/>
      <c r="B549" s="17" t="n"/>
      <c r="C549" s="18" t="n"/>
      <c r="D549" s="19" t="n"/>
      <c r="E549" s="17" t="n"/>
      <c r="F549" s="21">
        <f>IF(OR(B549="",C549=""),"",IFERROR(INT(ROUND(IFERROR(TIMEVALUE(IF(LEN(C549)-LEN(SUBSTITUTE(C549,":",""))=2,"","0:")&amp;C549)*86400,"")/VALUE(SUBSTITUTE(B549,"K","")),0)/60)&amp;":"&amp;TEXT(MOD(ROUND(IFERROR(TIMEVALUE(IF(LEN(C549)-LEN(SUBSTITUTE(C549,":",""))=2,"","0:")&amp;C549)*86400,"")/VALUE(SUBSTITUTE(B549,"K","")),0),60),"00"),""))</f>
        <v/>
      </c>
      <c r="G549" s="21">
        <f>IF(A549="","",IF(COUNTIF(Atletas!$A$2:$A$302,A549)&gt;0,"Sí","No"))</f>
        <v/>
      </c>
    </row>
    <row r="550">
      <c r="A550" s="17" t="n"/>
      <c r="B550" s="17" t="n"/>
      <c r="C550" s="18" t="n"/>
      <c r="D550" s="19" t="n"/>
      <c r="E550" s="17" t="n"/>
      <c r="F550" s="21">
        <f>IF(OR(B550="",C550=""),"",IFERROR(INT(ROUND(IFERROR(TIMEVALUE(IF(LEN(C550)-LEN(SUBSTITUTE(C550,":",""))=2,"","0:")&amp;C550)*86400,"")/VALUE(SUBSTITUTE(B550,"K","")),0)/60)&amp;":"&amp;TEXT(MOD(ROUND(IFERROR(TIMEVALUE(IF(LEN(C550)-LEN(SUBSTITUTE(C550,":",""))=2,"","0:")&amp;C550)*86400,"")/VALUE(SUBSTITUTE(B550,"K","")),0),60),"00"),""))</f>
        <v/>
      </c>
      <c r="G550" s="21">
        <f>IF(A550="","",IF(COUNTIF(Atletas!$A$2:$A$302,A550)&gt;0,"Sí","No"))</f>
        <v/>
      </c>
    </row>
    <row r="551">
      <c r="A551" s="17" t="n"/>
      <c r="B551" s="17" t="n"/>
      <c r="C551" s="18" t="n"/>
      <c r="D551" s="19" t="n"/>
      <c r="E551" s="17" t="n"/>
      <c r="F551" s="21">
        <f>IF(OR(B551="",C551=""),"",IFERROR(INT(ROUND(IFERROR(TIMEVALUE(IF(LEN(C551)-LEN(SUBSTITUTE(C551,":",""))=2,"","0:")&amp;C551)*86400,"")/VALUE(SUBSTITUTE(B551,"K","")),0)/60)&amp;":"&amp;TEXT(MOD(ROUND(IFERROR(TIMEVALUE(IF(LEN(C551)-LEN(SUBSTITUTE(C551,":",""))=2,"","0:")&amp;C551)*86400,"")/VALUE(SUBSTITUTE(B551,"K","")),0),60),"00"),""))</f>
        <v/>
      </c>
      <c r="G551" s="21">
        <f>IF(A551="","",IF(COUNTIF(Atletas!$A$2:$A$302,A551)&gt;0,"Sí","No"))</f>
        <v/>
      </c>
    </row>
    <row r="552">
      <c r="A552" s="17" t="n"/>
      <c r="B552" s="17" t="n"/>
      <c r="C552" s="18" t="n"/>
      <c r="D552" s="19" t="n"/>
      <c r="E552" s="17" t="n"/>
      <c r="F552" s="21">
        <f>IF(OR(B552="",C552=""),"",IFERROR(INT(ROUND(IFERROR(TIMEVALUE(IF(LEN(C552)-LEN(SUBSTITUTE(C552,":",""))=2,"","0:")&amp;C552)*86400,"")/VALUE(SUBSTITUTE(B552,"K","")),0)/60)&amp;":"&amp;TEXT(MOD(ROUND(IFERROR(TIMEVALUE(IF(LEN(C552)-LEN(SUBSTITUTE(C552,":",""))=2,"","0:")&amp;C552)*86400,"")/VALUE(SUBSTITUTE(B552,"K","")),0),60),"00"),""))</f>
        <v/>
      </c>
      <c r="G552" s="21">
        <f>IF(A552="","",IF(COUNTIF(Atletas!$A$2:$A$302,A552)&gt;0,"Sí","No"))</f>
        <v/>
      </c>
    </row>
    <row r="553">
      <c r="A553" s="17" t="n"/>
      <c r="B553" s="17" t="n"/>
      <c r="C553" s="18" t="n"/>
      <c r="D553" s="19" t="n"/>
      <c r="E553" s="17" t="n"/>
      <c r="F553" s="21">
        <f>IF(OR(B553="",C553=""),"",IFERROR(INT(ROUND(IFERROR(TIMEVALUE(IF(LEN(C553)-LEN(SUBSTITUTE(C553,":",""))=2,"","0:")&amp;C553)*86400,"")/VALUE(SUBSTITUTE(B553,"K","")),0)/60)&amp;":"&amp;TEXT(MOD(ROUND(IFERROR(TIMEVALUE(IF(LEN(C553)-LEN(SUBSTITUTE(C553,":",""))=2,"","0:")&amp;C553)*86400,"")/VALUE(SUBSTITUTE(B553,"K","")),0),60),"00"),""))</f>
        <v/>
      </c>
      <c r="G553" s="21">
        <f>IF(A553="","",IF(COUNTIF(Atletas!$A$2:$A$302,A553)&gt;0,"Sí","No"))</f>
        <v/>
      </c>
    </row>
    <row r="554">
      <c r="A554" s="17" t="n"/>
      <c r="B554" s="17" t="n"/>
      <c r="C554" s="18" t="n"/>
      <c r="D554" s="19" t="n"/>
      <c r="E554" s="17" t="n"/>
      <c r="F554" s="21">
        <f>IF(OR(B554="",C554=""),"",IFERROR(INT(ROUND(IFERROR(TIMEVALUE(IF(LEN(C554)-LEN(SUBSTITUTE(C554,":",""))=2,"","0:")&amp;C554)*86400,"")/VALUE(SUBSTITUTE(B554,"K","")),0)/60)&amp;":"&amp;TEXT(MOD(ROUND(IFERROR(TIMEVALUE(IF(LEN(C554)-LEN(SUBSTITUTE(C554,":",""))=2,"","0:")&amp;C554)*86400,"")/VALUE(SUBSTITUTE(B554,"K","")),0),60),"00"),""))</f>
        <v/>
      </c>
      <c r="G554" s="21">
        <f>IF(A554="","",IF(COUNTIF(Atletas!$A$2:$A$302,A554)&gt;0,"Sí","No"))</f>
        <v/>
      </c>
    </row>
    <row r="555">
      <c r="A555" s="17" t="n"/>
      <c r="B555" s="17" t="n"/>
      <c r="C555" s="18" t="n"/>
      <c r="D555" s="19" t="n"/>
      <c r="E555" s="17" t="n"/>
      <c r="F555" s="21">
        <f>IF(OR(B555="",C555=""),"",IFERROR(INT(ROUND(IFERROR(TIMEVALUE(IF(LEN(C555)-LEN(SUBSTITUTE(C555,":",""))=2,"","0:")&amp;C555)*86400,"")/VALUE(SUBSTITUTE(B555,"K","")),0)/60)&amp;":"&amp;TEXT(MOD(ROUND(IFERROR(TIMEVALUE(IF(LEN(C555)-LEN(SUBSTITUTE(C555,":",""))=2,"","0:")&amp;C555)*86400,"")/VALUE(SUBSTITUTE(B555,"K","")),0),60),"00"),""))</f>
        <v/>
      </c>
      <c r="G555" s="21">
        <f>IF(A555="","",IF(COUNTIF(Atletas!$A$2:$A$302,A555)&gt;0,"Sí","No"))</f>
        <v/>
      </c>
    </row>
    <row r="556">
      <c r="A556" s="17" t="n"/>
      <c r="B556" s="17" t="n"/>
      <c r="C556" s="18" t="n"/>
      <c r="D556" s="19" t="n"/>
      <c r="E556" s="17" t="n"/>
      <c r="F556" s="21">
        <f>IF(OR(B556="",C556=""),"",IFERROR(INT(ROUND(IFERROR(TIMEVALUE(IF(LEN(C556)-LEN(SUBSTITUTE(C556,":",""))=2,"","0:")&amp;C556)*86400,"")/VALUE(SUBSTITUTE(B556,"K","")),0)/60)&amp;":"&amp;TEXT(MOD(ROUND(IFERROR(TIMEVALUE(IF(LEN(C556)-LEN(SUBSTITUTE(C556,":",""))=2,"","0:")&amp;C556)*86400,"")/VALUE(SUBSTITUTE(B556,"K","")),0),60),"00"),""))</f>
        <v/>
      </c>
      <c r="G556" s="21">
        <f>IF(A556="","",IF(COUNTIF(Atletas!$A$2:$A$302,A556)&gt;0,"Sí","No"))</f>
        <v/>
      </c>
    </row>
    <row r="557">
      <c r="A557" s="17" t="n"/>
      <c r="B557" s="17" t="n"/>
      <c r="C557" s="18" t="n"/>
      <c r="D557" s="19" t="n"/>
      <c r="E557" s="17" t="n"/>
      <c r="F557" s="21">
        <f>IF(OR(B557="",C557=""),"",IFERROR(INT(ROUND(IFERROR(TIMEVALUE(IF(LEN(C557)-LEN(SUBSTITUTE(C557,":",""))=2,"","0:")&amp;C557)*86400,"")/VALUE(SUBSTITUTE(B557,"K","")),0)/60)&amp;":"&amp;TEXT(MOD(ROUND(IFERROR(TIMEVALUE(IF(LEN(C557)-LEN(SUBSTITUTE(C557,":",""))=2,"","0:")&amp;C557)*86400,"")/VALUE(SUBSTITUTE(B557,"K","")),0),60),"00"),""))</f>
        <v/>
      </c>
      <c r="G557" s="21">
        <f>IF(A557="","",IF(COUNTIF(Atletas!$A$2:$A$302,A557)&gt;0,"Sí","No"))</f>
        <v/>
      </c>
    </row>
    <row r="558">
      <c r="A558" s="17" t="n"/>
      <c r="B558" s="17" t="n"/>
      <c r="C558" s="18" t="n"/>
      <c r="D558" s="19" t="n"/>
      <c r="E558" s="17" t="n"/>
      <c r="F558" s="21">
        <f>IF(OR(B558="",C558=""),"",IFERROR(INT(ROUND(IFERROR(TIMEVALUE(IF(LEN(C558)-LEN(SUBSTITUTE(C558,":",""))=2,"","0:")&amp;C558)*86400,"")/VALUE(SUBSTITUTE(B558,"K","")),0)/60)&amp;":"&amp;TEXT(MOD(ROUND(IFERROR(TIMEVALUE(IF(LEN(C558)-LEN(SUBSTITUTE(C558,":",""))=2,"","0:")&amp;C558)*86400,"")/VALUE(SUBSTITUTE(B558,"K","")),0),60),"00"),""))</f>
        <v/>
      </c>
      <c r="G558" s="21">
        <f>IF(A558="","",IF(COUNTIF(Atletas!$A$2:$A$302,A558)&gt;0,"Sí","No"))</f>
        <v/>
      </c>
    </row>
    <row r="559">
      <c r="A559" s="17" t="n"/>
      <c r="B559" s="17" t="n"/>
      <c r="C559" s="18" t="n"/>
      <c r="D559" s="19" t="n"/>
      <c r="E559" s="17" t="n"/>
      <c r="F559" s="21">
        <f>IF(OR(B559="",C559=""),"",IFERROR(INT(ROUND(IFERROR(TIMEVALUE(IF(LEN(C559)-LEN(SUBSTITUTE(C559,":",""))=2,"","0:")&amp;C559)*86400,"")/VALUE(SUBSTITUTE(B559,"K","")),0)/60)&amp;":"&amp;TEXT(MOD(ROUND(IFERROR(TIMEVALUE(IF(LEN(C559)-LEN(SUBSTITUTE(C559,":",""))=2,"","0:")&amp;C559)*86400,"")/VALUE(SUBSTITUTE(B559,"K","")),0),60),"00"),""))</f>
        <v/>
      </c>
      <c r="G559" s="21">
        <f>IF(A559="","",IF(COUNTIF(Atletas!$A$2:$A$302,A559)&gt;0,"Sí","No"))</f>
        <v/>
      </c>
    </row>
    <row r="560">
      <c r="A560" s="17" t="n"/>
      <c r="B560" s="17" t="n"/>
      <c r="C560" s="18" t="n"/>
      <c r="D560" s="19" t="n"/>
      <c r="E560" s="17" t="n"/>
      <c r="F560" s="21">
        <f>IF(OR(B560="",C560=""),"",IFERROR(INT(ROUND(IFERROR(TIMEVALUE(IF(LEN(C560)-LEN(SUBSTITUTE(C560,":",""))=2,"","0:")&amp;C560)*86400,"")/VALUE(SUBSTITUTE(B560,"K","")),0)/60)&amp;":"&amp;TEXT(MOD(ROUND(IFERROR(TIMEVALUE(IF(LEN(C560)-LEN(SUBSTITUTE(C560,":",""))=2,"","0:")&amp;C560)*86400,"")/VALUE(SUBSTITUTE(B560,"K","")),0),60),"00"),""))</f>
        <v/>
      </c>
      <c r="G560" s="21">
        <f>IF(A560="","",IF(COUNTIF(Atletas!$A$2:$A$302,A560)&gt;0,"Sí","No"))</f>
        <v/>
      </c>
    </row>
    <row r="561">
      <c r="A561" s="17" t="n"/>
      <c r="B561" s="17" t="n"/>
      <c r="C561" s="18" t="n"/>
      <c r="D561" s="19" t="n"/>
      <c r="E561" s="17" t="n"/>
      <c r="F561" s="21">
        <f>IF(OR(B561="",C561=""),"",IFERROR(INT(ROUND(IFERROR(TIMEVALUE(IF(LEN(C561)-LEN(SUBSTITUTE(C561,":",""))=2,"","0:")&amp;C561)*86400,"")/VALUE(SUBSTITUTE(B561,"K","")),0)/60)&amp;":"&amp;TEXT(MOD(ROUND(IFERROR(TIMEVALUE(IF(LEN(C561)-LEN(SUBSTITUTE(C561,":",""))=2,"","0:")&amp;C561)*86400,"")/VALUE(SUBSTITUTE(B561,"K","")),0),60),"00"),""))</f>
        <v/>
      </c>
      <c r="G561" s="21">
        <f>IF(A561="","",IF(COUNTIF(Atletas!$A$2:$A$302,A561)&gt;0,"Sí","No"))</f>
        <v/>
      </c>
    </row>
    <row r="562">
      <c r="A562" s="17" t="n"/>
      <c r="B562" s="17" t="n"/>
      <c r="C562" s="18" t="n"/>
      <c r="D562" s="19" t="n"/>
      <c r="E562" s="17" t="n"/>
      <c r="F562" s="21">
        <f>IF(OR(B562="",C562=""),"",IFERROR(INT(ROUND(IFERROR(TIMEVALUE(IF(LEN(C562)-LEN(SUBSTITUTE(C562,":",""))=2,"","0:")&amp;C562)*86400,"")/VALUE(SUBSTITUTE(B562,"K","")),0)/60)&amp;":"&amp;TEXT(MOD(ROUND(IFERROR(TIMEVALUE(IF(LEN(C562)-LEN(SUBSTITUTE(C562,":",""))=2,"","0:")&amp;C562)*86400,"")/VALUE(SUBSTITUTE(B562,"K","")),0),60),"00"),""))</f>
        <v/>
      </c>
      <c r="G562" s="21">
        <f>IF(A562="","",IF(COUNTIF(Atletas!$A$2:$A$302,A562)&gt;0,"Sí","No"))</f>
        <v/>
      </c>
    </row>
    <row r="563">
      <c r="A563" s="17" t="n"/>
      <c r="B563" s="17" t="n"/>
      <c r="C563" s="18" t="n"/>
      <c r="D563" s="19" t="n"/>
      <c r="E563" s="17" t="n"/>
      <c r="F563" s="21">
        <f>IF(OR(B563="",C563=""),"",IFERROR(INT(ROUND(IFERROR(TIMEVALUE(IF(LEN(C563)-LEN(SUBSTITUTE(C563,":",""))=2,"","0:")&amp;C563)*86400,"")/VALUE(SUBSTITUTE(B563,"K","")),0)/60)&amp;":"&amp;TEXT(MOD(ROUND(IFERROR(TIMEVALUE(IF(LEN(C563)-LEN(SUBSTITUTE(C563,":",""))=2,"","0:")&amp;C563)*86400,"")/VALUE(SUBSTITUTE(B563,"K","")),0),60),"00"),""))</f>
        <v/>
      </c>
      <c r="G563" s="21">
        <f>IF(A563="","",IF(COUNTIF(Atletas!$A$2:$A$302,A563)&gt;0,"Sí","No"))</f>
        <v/>
      </c>
    </row>
    <row r="564">
      <c r="A564" s="17" t="n"/>
      <c r="B564" s="17" t="n"/>
      <c r="C564" s="18" t="n"/>
      <c r="D564" s="19" t="n"/>
      <c r="E564" s="17" t="n"/>
      <c r="F564" s="21">
        <f>IF(OR(B564="",C564=""),"",IFERROR(INT(ROUND(IFERROR(TIMEVALUE(IF(LEN(C564)-LEN(SUBSTITUTE(C564,":",""))=2,"","0:")&amp;C564)*86400,"")/VALUE(SUBSTITUTE(B564,"K","")),0)/60)&amp;":"&amp;TEXT(MOD(ROUND(IFERROR(TIMEVALUE(IF(LEN(C564)-LEN(SUBSTITUTE(C564,":",""))=2,"","0:")&amp;C564)*86400,"")/VALUE(SUBSTITUTE(B564,"K","")),0),60),"00"),""))</f>
        <v/>
      </c>
      <c r="G564" s="21">
        <f>IF(A564="","",IF(COUNTIF(Atletas!$A$2:$A$302,A564)&gt;0,"Sí","No"))</f>
        <v/>
      </c>
    </row>
    <row r="565">
      <c r="A565" s="17" t="n"/>
      <c r="B565" s="17" t="n"/>
      <c r="C565" s="18" t="n"/>
      <c r="D565" s="19" t="n"/>
      <c r="E565" s="17" t="n"/>
      <c r="F565" s="21">
        <f>IF(OR(B565="",C565=""),"",IFERROR(INT(ROUND(IFERROR(TIMEVALUE(IF(LEN(C565)-LEN(SUBSTITUTE(C565,":",""))=2,"","0:")&amp;C565)*86400,"")/VALUE(SUBSTITUTE(B565,"K","")),0)/60)&amp;":"&amp;TEXT(MOD(ROUND(IFERROR(TIMEVALUE(IF(LEN(C565)-LEN(SUBSTITUTE(C565,":",""))=2,"","0:")&amp;C565)*86400,"")/VALUE(SUBSTITUTE(B565,"K","")),0),60),"00"),""))</f>
        <v/>
      </c>
      <c r="G565" s="21">
        <f>IF(A565="","",IF(COUNTIF(Atletas!$A$2:$A$302,A565)&gt;0,"Sí","No"))</f>
        <v/>
      </c>
    </row>
    <row r="566">
      <c r="A566" s="17" t="n"/>
      <c r="B566" s="17" t="n"/>
      <c r="C566" s="18" t="n"/>
      <c r="D566" s="19" t="n"/>
      <c r="E566" s="17" t="n"/>
      <c r="F566" s="21">
        <f>IF(OR(B566="",C566=""),"",IFERROR(INT(ROUND(IFERROR(TIMEVALUE(IF(LEN(C566)-LEN(SUBSTITUTE(C566,":",""))=2,"","0:")&amp;C566)*86400,"")/VALUE(SUBSTITUTE(B566,"K","")),0)/60)&amp;":"&amp;TEXT(MOD(ROUND(IFERROR(TIMEVALUE(IF(LEN(C566)-LEN(SUBSTITUTE(C566,":",""))=2,"","0:")&amp;C566)*86400,"")/VALUE(SUBSTITUTE(B566,"K","")),0),60),"00"),""))</f>
        <v/>
      </c>
      <c r="G566" s="21">
        <f>IF(A566="","",IF(COUNTIF(Atletas!$A$2:$A$302,A566)&gt;0,"Sí","No"))</f>
        <v/>
      </c>
    </row>
    <row r="567">
      <c r="A567" s="17" t="n"/>
      <c r="B567" s="17" t="n"/>
      <c r="C567" s="18" t="n"/>
      <c r="D567" s="19" t="n"/>
      <c r="E567" s="17" t="n"/>
      <c r="F567" s="21">
        <f>IF(OR(B567="",C567=""),"",IFERROR(INT(ROUND(IFERROR(TIMEVALUE(IF(LEN(C567)-LEN(SUBSTITUTE(C567,":",""))=2,"","0:")&amp;C567)*86400,"")/VALUE(SUBSTITUTE(B567,"K","")),0)/60)&amp;":"&amp;TEXT(MOD(ROUND(IFERROR(TIMEVALUE(IF(LEN(C567)-LEN(SUBSTITUTE(C567,":",""))=2,"","0:")&amp;C567)*86400,"")/VALUE(SUBSTITUTE(B567,"K","")),0),60),"00"),""))</f>
        <v/>
      </c>
      <c r="G567" s="21">
        <f>IF(A567="","",IF(COUNTIF(Atletas!$A$2:$A$302,A567)&gt;0,"Sí","No"))</f>
        <v/>
      </c>
    </row>
    <row r="568">
      <c r="A568" s="17" t="n"/>
      <c r="B568" s="17" t="n"/>
      <c r="C568" s="18" t="n"/>
      <c r="D568" s="19" t="n"/>
      <c r="E568" s="17" t="n"/>
      <c r="F568" s="21">
        <f>IF(OR(B568="",C568=""),"",IFERROR(INT(ROUND(IFERROR(TIMEVALUE(IF(LEN(C568)-LEN(SUBSTITUTE(C568,":",""))=2,"","0:")&amp;C568)*86400,"")/VALUE(SUBSTITUTE(B568,"K","")),0)/60)&amp;":"&amp;TEXT(MOD(ROUND(IFERROR(TIMEVALUE(IF(LEN(C568)-LEN(SUBSTITUTE(C568,":",""))=2,"","0:")&amp;C568)*86400,"")/VALUE(SUBSTITUTE(B568,"K","")),0),60),"00"),""))</f>
        <v/>
      </c>
      <c r="G568" s="21">
        <f>IF(A568="","",IF(COUNTIF(Atletas!$A$2:$A$302,A568)&gt;0,"Sí","No"))</f>
        <v/>
      </c>
    </row>
    <row r="569">
      <c r="A569" s="17" t="n"/>
      <c r="B569" s="17" t="n"/>
      <c r="C569" s="18" t="n"/>
      <c r="D569" s="19" t="n"/>
      <c r="E569" s="17" t="n"/>
      <c r="F569" s="21">
        <f>IF(OR(B569="",C569=""),"",IFERROR(INT(ROUND(IFERROR(TIMEVALUE(IF(LEN(C569)-LEN(SUBSTITUTE(C569,":",""))=2,"","0:")&amp;C569)*86400,"")/VALUE(SUBSTITUTE(B569,"K","")),0)/60)&amp;":"&amp;TEXT(MOD(ROUND(IFERROR(TIMEVALUE(IF(LEN(C569)-LEN(SUBSTITUTE(C569,":",""))=2,"","0:")&amp;C569)*86400,"")/VALUE(SUBSTITUTE(B569,"K","")),0),60),"00"),""))</f>
        <v/>
      </c>
      <c r="G569" s="21">
        <f>IF(A569="","",IF(COUNTIF(Atletas!$A$2:$A$302,A569)&gt;0,"Sí","No"))</f>
        <v/>
      </c>
    </row>
    <row r="570">
      <c r="A570" s="17" t="n"/>
      <c r="B570" s="17" t="n"/>
      <c r="C570" s="18" t="n"/>
      <c r="D570" s="19" t="n"/>
      <c r="E570" s="17" t="n"/>
      <c r="F570" s="21">
        <f>IF(OR(B570="",C570=""),"",IFERROR(INT(ROUND(IFERROR(TIMEVALUE(IF(LEN(C570)-LEN(SUBSTITUTE(C570,":",""))=2,"","0:")&amp;C570)*86400,"")/VALUE(SUBSTITUTE(B570,"K","")),0)/60)&amp;":"&amp;TEXT(MOD(ROUND(IFERROR(TIMEVALUE(IF(LEN(C570)-LEN(SUBSTITUTE(C570,":",""))=2,"","0:")&amp;C570)*86400,"")/VALUE(SUBSTITUTE(B570,"K","")),0),60),"00"),""))</f>
        <v/>
      </c>
      <c r="G570" s="21">
        <f>IF(A570="","",IF(COUNTIF(Atletas!$A$2:$A$302,A570)&gt;0,"Sí","No"))</f>
        <v/>
      </c>
    </row>
    <row r="571">
      <c r="A571" s="17" t="n"/>
      <c r="B571" s="17" t="n"/>
      <c r="C571" s="18" t="n"/>
      <c r="D571" s="19" t="n"/>
      <c r="E571" s="17" t="n"/>
      <c r="F571" s="21">
        <f>IF(OR(B571="",C571=""),"",IFERROR(INT(ROUND(IFERROR(TIMEVALUE(IF(LEN(C571)-LEN(SUBSTITUTE(C571,":",""))=2,"","0:")&amp;C571)*86400,"")/VALUE(SUBSTITUTE(B571,"K","")),0)/60)&amp;":"&amp;TEXT(MOD(ROUND(IFERROR(TIMEVALUE(IF(LEN(C571)-LEN(SUBSTITUTE(C571,":",""))=2,"","0:")&amp;C571)*86400,"")/VALUE(SUBSTITUTE(B571,"K","")),0),60),"00"),""))</f>
        <v/>
      </c>
      <c r="G571" s="21">
        <f>IF(A571="","",IF(COUNTIF(Atletas!$A$2:$A$302,A571)&gt;0,"Sí","No"))</f>
        <v/>
      </c>
    </row>
    <row r="572">
      <c r="A572" s="17" t="n"/>
      <c r="B572" s="17" t="n"/>
      <c r="C572" s="18" t="n"/>
      <c r="D572" s="19" t="n"/>
      <c r="E572" s="17" t="n"/>
      <c r="F572" s="21">
        <f>IF(OR(B572="",C572=""),"",IFERROR(INT(ROUND(IFERROR(TIMEVALUE(IF(LEN(C572)-LEN(SUBSTITUTE(C572,":",""))=2,"","0:")&amp;C572)*86400,"")/VALUE(SUBSTITUTE(B572,"K","")),0)/60)&amp;":"&amp;TEXT(MOD(ROUND(IFERROR(TIMEVALUE(IF(LEN(C572)-LEN(SUBSTITUTE(C572,":",""))=2,"","0:")&amp;C572)*86400,"")/VALUE(SUBSTITUTE(B572,"K","")),0),60),"00"),""))</f>
        <v/>
      </c>
      <c r="G572" s="21">
        <f>IF(A572="","",IF(COUNTIF(Atletas!$A$2:$A$302,A572)&gt;0,"Sí","No"))</f>
        <v/>
      </c>
    </row>
    <row r="573">
      <c r="A573" s="17" t="n"/>
      <c r="B573" s="17" t="n"/>
      <c r="C573" s="18" t="n"/>
      <c r="D573" s="19" t="n"/>
      <c r="E573" s="17" t="n"/>
      <c r="F573" s="21">
        <f>IF(OR(B573="",C573=""),"",IFERROR(INT(ROUND(IFERROR(TIMEVALUE(IF(LEN(C573)-LEN(SUBSTITUTE(C573,":",""))=2,"","0:")&amp;C573)*86400,"")/VALUE(SUBSTITUTE(B573,"K","")),0)/60)&amp;":"&amp;TEXT(MOD(ROUND(IFERROR(TIMEVALUE(IF(LEN(C573)-LEN(SUBSTITUTE(C573,":",""))=2,"","0:")&amp;C573)*86400,"")/VALUE(SUBSTITUTE(B573,"K","")),0),60),"00"),""))</f>
        <v/>
      </c>
      <c r="G573" s="21">
        <f>IF(A573="","",IF(COUNTIF(Atletas!$A$2:$A$302,A573)&gt;0,"Sí","No"))</f>
        <v/>
      </c>
    </row>
    <row r="574">
      <c r="A574" s="17" t="n"/>
      <c r="B574" s="17" t="n"/>
      <c r="C574" s="18" t="n"/>
      <c r="D574" s="19" t="n"/>
      <c r="E574" s="17" t="n"/>
      <c r="F574" s="21">
        <f>IF(OR(B574="",C574=""),"",IFERROR(INT(ROUND(IFERROR(TIMEVALUE(IF(LEN(C574)-LEN(SUBSTITUTE(C574,":",""))=2,"","0:")&amp;C574)*86400,"")/VALUE(SUBSTITUTE(B574,"K","")),0)/60)&amp;":"&amp;TEXT(MOD(ROUND(IFERROR(TIMEVALUE(IF(LEN(C574)-LEN(SUBSTITUTE(C574,":",""))=2,"","0:")&amp;C574)*86400,"")/VALUE(SUBSTITUTE(B574,"K","")),0),60),"00"),""))</f>
        <v/>
      </c>
      <c r="G574" s="21">
        <f>IF(A574="","",IF(COUNTIF(Atletas!$A$2:$A$302,A574)&gt;0,"Sí","No"))</f>
        <v/>
      </c>
    </row>
    <row r="575">
      <c r="A575" s="17" t="n"/>
      <c r="B575" s="17" t="n"/>
      <c r="C575" s="18" t="n"/>
      <c r="D575" s="19" t="n"/>
      <c r="E575" s="17" t="n"/>
      <c r="F575" s="21">
        <f>IF(OR(B575="",C575=""),"",IFERROR(INT(ROUND(IFERROR(TIMEVALUE(IF(LEN(C575)-LEN(SUBSTITUTE(C575,":",""))=2,"","0:")&amp;C575)*86400,"")/VALUE(SUBSTITUTE(B575,"K","")),0)/60)&amp;":"&amp;TEXT(MOD(ROUND(IFERROR(TIMEVALUE(IF(LEN(C575)-LEN(SUBSTITUTE(C575,":",""))=2,"","0:")&amp;C575)*86400,"")/VALUE(SUBSTITUTE(B575,"K","")),0),60),"00"),""))</f>
        <v/>
      </c>
      <c r="G575" s="21">
        <f>IF(A575="","",IF(COUNTIF(Atletas!$A$2:$A$302,A575)&gt;0,"Sí","No"))</f>
        <v/>
      </c>
    </row>
    <row r="576">
      <c r="A576" s="17" t="n"/>
      <c r="B576" s="17" t="n"/>
      <c r="C576" s="18" t="n"/>
      <c r="D576" s="19" t="n"/>
      <c r="E576" s="17" t="n"/>
      <c r="F576" s="21">
        <f>IF(OR(B576="",C576=""),"",IFERROR(INT(ROUND(IFERROR(TIMEVALUE(IF(LEN(C576)-LEN(SUBSTITUTE(C576,":",""))=2,"","0:")&amp;C576)*86400,"")/VALUE(SUBSTITUTE(B576,"K","")),0)/60)&amp;":"&amp;TEXT(MOD(ROUND(IFERROR(TIMEVALUE(IF(LEN(C576)-LEN(SUBSTITUTE(C576,":",""))=2,"","0:")&amp;C576)*86400,"")/VALUE(SUBSTITUTE(B576,"K","")),0),60),"00"),""))</f>
        <v/>
      </c>
      <c r="G576" s="21">
        <f>IF(A576="","",IF(COUNTIF(Atletas!$A$2:$A$302,A576)&gt;0,"Sí","No"))</f>
        <v/>
      </c>
    </row>
    <row r="577">
      <c r="A577" s="17" t="n"/>
      <c r="B577" s="17" t="n"/>
      <c r="C577" s="18" t="n"/>
      <c r="D577" s="19" t="n"/>
      <c r="E577" s="17" t="n"/>
      <c r="F577" s="21">
        <f>IF(OR(B577="",C577=""),"",IFERROR(INT(ROUND(IFERROR(TIMEVALUE(IF(LEN(C577)-LEN(SUBSTITUTE(C577,":",""))=2,"","0:")&amp;C577)*86400,"")/VALUE(SUBSTITUTE(B577,"K","")),0)/60)&amp;":"&amp;TEXT(MOD(ROUND(IFERROR(TIMEVALUE(IF(LEN(C577)-LEN(SUBSTITUTE(C577,":",""))=2,"","0:")&amp;C577)*86400,"")/VALUE(SUBSTITUTE(B577,"K","")),0),60),"00"),""))</f>
        <v/>
      </c>
      <c r="G577" s="21">
        <f>IF(A577="","",IF(COUNTIF(Atletas!$A$2:$A$302,A577)&gt;0,"Sí","No"))</f>
        <v/>
      </c>
    </row>
    <row r="578">
      <c r="A578" s="17" t="n"/>
      <c r="B578" s="17" t="n"/>
      <c r="C578" s="18" t="n"/>
      <c r="D578" s="19" t="n"/>
      <c r="E578" s="17" t="n"/>
      <c r="F578" s="21">
        <f>IF(OR(B578="",C578=""),"",IFERROR(INT(ROUND(IFERROR(TIMEVALUE(IF(LEN(C578)-LEN(SUBSTITUTE(C578,":",""))=2,"","0:")&amp;C578)*86400,"")/VALUE(SUBSTITUTE(B578,"K","")),0)/60)&amp;":"&amp;TEXT(MOD(ROUND(IFERROR(TIMEVALUE(IF(LEN(C578)-LEN(SUBSTITUTE(C578,":",""))=2,"","0:")&amp;C578)*86400,"")/VALUE(SUBSTITUTE(B578,"K","")),0),60),"00"),""))</f>
        <v/>
      </c>
      <c r="G578" s="21">
        <f>IF(A578="","",IF(COUNTIF(Atletas!$A$2:$A$302,A578)&gt;0,"Sí","No"))</f>
        <v/>
      </c>
    </row>
    <row r="579">
      <c r="A579" s="17" t="n"/>
      <c r="B579" s="17" t="n"/>
      <c r="C579" s="18" t="n"/>
      <c r="D579" s="19" t="n"/>
      <c r="E579" s="17" t="n"/>
      <c r="F579" s="21">
        <f>IF(OR(B579="",C579=""),"",IFERROR(INT(ROUND(IFERROR(TIMEVALUE(IF(LEN(C579)-LEN(SUBSTITUTE(C579,":",""))=2,"","0:")&amp;C579)*86400,"")/VALUE(SUBSTITUTE(B579,"K","")),0)/60)&amp;":"&amp;TEXT(MOD(ROUND(IFERROR(TIMEVALUE(IF(LEN(C579)-LEN(SUBSTITUTE(C579,":",""))=2,"","0:")&amp;C579)*86400,"")/VALUE(SUBSTITUTE(B579,"K","")),0),60),"00"),""))</f>
        <v/>
      </c>
      <c r="G579" s="21">
        <f>IF(A579="","",IF(COUNTIF(Atletas!$A$2:$A$302,A579)&gt;0,"Sí","No"))</f>
        <v/>
      </c>
    </row>
    <row r="580">
      <c r="A580" s="17" t="n"/>
      <c r="B580" s="17" t="n"/>
      <c r="C580" s="18" t="n"/>
      <c r="D580" s="19" t="n"/>
      <c r="E580" s="17" t="n"/>
      <c r="F580" s="21">
        <f>IF(OR(B580="",C580=""),"",IFERROR(INT(ROUND(IFERROR(TIMEVALUE(IF(LEN(C580)-LEN(SUBSTITUTE(C580,":",""))=2,"","0:")&amp;C580)*86400,"")/VALUE(SUBSTITUTE(B580,"K","")),0)/60)&amp;":"&amp;TEXT(MOD(ROUND(IFERROR(TIMEVALUE(IF(LEN(C580)-LEN(SUBSTITUTE(C580,":",""))=2,"","0:")&amp;C580)*86400,"")/VALUE(SUBSTITUTE(B580,"K","")),0),60),"00"),""))</f>
        <v/>
      </c>
      <c r="G580" s="21">
        <f>IF(A580="","",IF(COUNTIF(Atletas!$A$2:$A$302,A580)&gt;0,"Sí","No"))</f>
        <v/>
      </c>
    </row>
    <row r="581">
      <c r="A581" s="17" t="n"/>
      <c r="B581" s="17" t="n"/>
      <c r="C581" s="18" t="n"/>
      <c r="D581" s="19" t="n"/>
      <c r="E581" s="17" t="n"/>
      <c r="F581" s="21">
        <f>IF(OR(B581="",C581=""),"",IFERROR(INT(ROUND(IFERROR(TIMEVALUE(IF(LEN(C581)-LEN(SUBSTITUTE(C581,":",""))=2,"","0:")&amp;C581)*86400,"")/VALUE(SUBSTITUTE(B581,"K","")),0)/60)&amp;":"&amp;TEXT(MOD(ROUND(IFERROR(TIMEVALUE(IF(LEN(C581)-LEN(SUBSTITUTE(C581,":",""))=2,"","0:")&amp;C581)*86400,"")/VALUE(SUBSTITUTE(B581,"K","")),0),60),"00"),""))</f>
        <v/>
      </c>
      <c r="G581" s="21">
        <f>IF(A581="","",IF(COUNTIF(Atletas!$A$2:$A$302,A581)&gt;0,"Sí","No"))</f>
        <v/>
      </c>
    </row>
    <row r="582">
      <c r="A582" s="17" t="n"/>
      <c r="B582" s="17" t="n"/>
      <c r="C582" s="18" t="n"/>
      <c r="D582" s="19" t="n"/>
      <c r="E582" s="17" t="n"/>
      <c r="F582" s="21">
        <f>IF(OR(B582="",C582=""),"",IFERROR(INT(ROUND(IFERROR(TIMEVALUE(IF(LEN(C582)-LEN(SUBSTITUTE(C582,":",""))=2,"","0:")&amp;C582)*86400,"")/VALUE(SUBSTITUTE(B582,"K","")),0)/60)&amp;":"&amp;TEXT(MOD(ROUND(IFERROR(TIMEVALUE(IF(LEN(C582)-LEN(SUBSTITUTE(C582,":",""))=2,"","0:")&amp;C582)*86400,"")/VALUE(SUBSTITUTE(B582,"K","")),0),60),"00"),""))</f>
        <v/>
      </c>
      <c r="G582" s="21">
        <f>IF(A582="","",IF(COUNTIF(Atletas!$A$2:$A$302,A582)&gt;0,"Sí","No"))</f>
        <v/>
      </c>
    </row>
    <row r="583">
      <c r="A583" s="17" t="n"/>
      <c r="B583" s="17" t="n"/>
      <c r="C583" s="18" t="n"/>
      <c r="D583" s="19" t="n"/>
      <c r="E583" s="17" t="n"/>
      <c r="F583" s="21">
        <f>IF(OR(B583="",C583=""),"",IFERROR(INT(ROUND(IFERROR(TIMEVALUE(IF(LEN(C583)-LEN(SUBSTITUTE(C583,":",""))=2,"","0:")&amp;C583)*86400,"")/VALUE(SUBSTITUTE(B583,"K","")),0)/60)&amp;":"&amp;TEXT(MOD(ROUND(IFERROR(TIMEVALUE(IF(LEN(C583)-LEN(SUBSTITUTE(C583,":",""))=2,"","0:")&amp;C583)*86400,"")/VALUE(SUBSTITUTE(B583,"K","")),0),60),"00"),""))</f>
        <v/>
      </c>
      <c r="G583" s="21">
        <f>IF(A583="","",IF(COUNTIF(Atletas!$A$2:$A$302,A583)&gt;0,"Sí","No"))</f>
        <v/>
      </c>
    </row>
    <row r="584">
      <c r="A584" s="17" t="n"/>
      <c r="B584" s="17" t="n"/>
      <c r="C584" s="18" t="n"/>
      <c r="D584" s="19" t="n"/>
      <c r="E584" s="17" t="n"/>
      <c r="F584" s="21">
        <f>IF(OR(B584="",C584=""),"",IFERROR(INT(ROUND(IFERROR(TIMEVALUE(IF(LEN(C584)-LEN(SUBSTITUTE(C584,":",""))=2,"","0:")&amp;C584)*86400,"")/VALUE(SUBSTITUTE(B584,"K","")),0)/60)&amp;":"&amp;TEXT(MOD(ROUND(IFERROR(TIMEVALUE(IF(LEN(C584)-LEN(SUBSTITUTE(C584,":",""))=2,"","0:")&amp;C584)*86400,"")/VALUE(SUBSTITUTE(B584,"K","")),0),60),"00"),""))</f>
        <v/>
      </c>
      <c r="G584" s="21">
        <f>IF(A584="","",IF(COUNTIF(Atletas!$A$2:$A$302,A584)&gt;0,"Sí","No"))</f>
        <v/>
      </c>
    </row>
    <row r="585">
      <c r="A585" s="17" t="n"/>
      <c r="B585" s="17" t="n"/>
      <c r="C585" s="18" t="n"/>
      <c r="D585" s="19" t="n"/>
      <c r="E585" s="17" t="n"/>
      <c r="F585" s="21">
        <f>IF(OR(B585="",C585=""),"",IFERROR(INT(ROUND(IFERROR(TIMEVALUE(IF(LEN(C585)-LEN(SUBSTITUTE(C585,":",""))=2,"","0:")&amp;C585)*86400,"")/VALUE(SUBSTITUTE(B585,"K","")),0)/60)&amp;":"&amp;TEXT(MOD(ROUND(IFERROR(TIMEVALUE(IF(LEN(C585)-LEN(SUBSTITUTE(C585,":",""))=2,"","0:")&amp;C585)*86400,"")/VALUE(SUBSTITUTE(B585,"K","")),0),60),"00"),""))</f>
        <v/>
      </c>
      <c r="G585" s="21">
        <f>IF(A585="","",IF(COUNTIF(Atletas!$A$2:$A$302,A585)&gt;0,"Sí","No"))</f>
        <v/>
      </c>
    </row>
    <row r="586">
      <c r="A586" s="17" t="n"/>
      <c r="B586" s="17" t="n"/>
      <c r="C586" s="18" t="n"/>
      <c r="D586" s="19" t="n"/>
      <c r="E586" s="17" t="n"/>
      <c r="F586" s="21">
        <f>IF(OR(B586="",C586=""),"",IFERROR(INT(ROUND(IFERROR(TIMEVALUE(IF(LEN(C586)-LEN(SUBSTITUTE(C586,":",""))=2,"","0:")&amp;C586)*86400,"")/VALUE(SUBSTITUTE(B586,"K","")),0)/60)&amp;":"&amp;TEXT(MOD(ROUND(IFERROR(TIMEVALUE(IF(LEN(C586)-LEN(SUBSTITUTE(C586,":",""))=2,"","0:")&amp;C586)*86400,"")/VALUE(SUBSTITUTE(B586,"K","")),0),60),"00"),""))</f>
        <v/>
      </c>
      <c r="G586" s="21">
        <f>IF(A586="","",IF(COUNTIF(Atletas!$A$2:$A$302,A586)&gt;0,"Sí","No"))</f>
        <v/>
      </c>
    </row>
    <row r="587">
      <c r="A587" s="17" t="n"/>
      <c r="B587" s="17" t="n"/>
      <c r="C587" s="18" t="n"/>
      <c r="D587" s="19" t="n"/>
      <c r="E587" s="17" t="n"/>
      <c r="F587" s="21">
        <f>IF(OR(B587="",C587=""),"",IFERROR(INT(ROUND(IFERROR(TIMEVALUE(IF(LEN(C587)-LEN(SUBSTITUTE(C587,":",""))=2,"","0:")&amp;C587)*86400,"")/VALUE(SUBSTITUTE(B587,"K","")),0)/60)&amp;":"&amp;TEXT(MOD(ROUND(IFERROR(TIMEVALUE(IF(LEN(C587)-LEN(SUBSTITUTE(C587,":",""))=2,"","0:")&amp;C587)*86400,"")/VALUE(SUBSTITUTE(B587,"K","")),0),60),"00"),""))</f>
        <v/>
      </c>
      <c r="G587" s="21">
        <f>IF(A587="","",IF(COUNTIF(Atletas!$A$2:$A$302,A587)&gt;0,"Sí","No"))</f>
        <v/>
      </c>
    </row>
    <row r="588">
      <c r="A588" s="17" t="n"/>
      <c r="B588" s="17" t="n"/>
      <c r="C588" s="18" t="n"/>
      <c r="D588" s="19" t="n"/>
      <c r="E588" s="17" t="n"/>
      <c r="F588" s="21">
        <f>IF(OR(B588="",C588=""),"",IFERROR(INT(ROUND(IFERROR(TIMEVALUE(IF(LEN(C588)-LEN(SUBSTITUTE(C588,":",""))=2,"","0:")&amp;C588)*86400,"")/VALUE(SUBSTITUTE(B588,"K","")),0)/60)&amp;":"&amp;TEXT(MOD(ROUND(IFERROR(TIMEVALUE(IF(LEN(C588)-LEN(SUBSTITUTE(C588,":",""))=2,"","0:")&amp;C588)*86400,"")/VALUE(SUBSTITUTE(B588,"K","")),0),60),"00"),""))</f>
        <v/>
      </c>
      <c r="G588" s="21">
        <f>IF(A588="","",IF(COUNTIF(Atletas!$A$2:$A$302,A588)&gt;0,"Sí","No"))</f>
        <v/>
      </c>
    </row>
    <row r="589">
      <c r="A589" s="17" t="n"/>
      <c r="B589" s="17" t="n"/>
      <c r="C589" s="18" t="n"/>
      <c r="D589" s="19" t="n"/>
      <c r="E589" s="17" t="n"/>
      <c r="F589" s="21">
        <f>IF(OR(B589="",C589=""),"",IFERROR(INT(ROUND(IFERROR(TIMEVALUE(IF(LEN(C589)-LEN(SUBSTITUTE(C589,":",""))=2,"","0:")&amp;C589)*86400,"")/VALUE(SUBSTITUTE(B589,"K","")),0)/60)&amp;":"&amp;TEXT(MOD(ROUND(IFERROR(TIMEVALUE(IF(LEN(C589)-LEN(SUBSTITUTE(C589,":",""))=2,"","0:")&amp;C589)*86400,"")/VALUE(SUBSTITUTE(B589,"K","")),0),60),"00"),""))</f>
        <v/>
      </c>
      <c r="G589" s="21">
        <f>IF(A589="","",IF(COUNTIF(Atletas!$A$2:$A$302,A589)&gt;0,"Sí","No"))</f>
        <v/>
      </c>
    </row>
    <row r="590">
      <c r="A590" s="17" t="n"/>
      <c r="B590" s="17" t="n"/>
      <c r="C590" s="18" t="n"/>
      <c r="D590" s="19" t="n"/>
      <c r="E590" s="17" t="n"/>
      <c r="F590" s="21">
        <f>IF(OR(B590="",C590=""),"",IFERROR(INT(ROUND(IFERROR(TIMEVALUE(IF(LEN(C590)-LEN(SUBSTITUTE(C590,":",""))=2,"","0:")&amp;C590)*86400,"")/VALUE(SUBSTITUTE(B590,"K","")),0)/60)&amp;":"&amp;TEXT(MOD(ROUND(IFERROR(TIMEVALUE(IF(LEN(C590)-LEN(SUBSTITUTE(C590,":",""))=2,"","0:")&amp;C590)*86400,"")/VALUE(SUBSTITUTE(B590,"K","")),0),60),"00"),""))</f>
        <v/>
      </c>
      <c r="G590" s="21">
        <f>IF(A590="","",IF(COUNTIF(Atletas!$A$2:$A$302,A590)&gt;0,"Sí","No"))</f>
        <v/>
      </c>
    </row>
    <row r="591">
      <c r="A591" s="17" t="n"/>
      <c r="B591" s="17" t="n"/>
      <c r="C591" s="18" t="n"/>
      <c r="D591" s="19" t="n"/>
      <c r="E591" s="17" t="n"/>
      <c r="F591" s="21">
        <f>IF(OR(B591="",C591=""),"",IFERROR(INT(ROUND(IFERROR(TIMEVALUE(IF(LEN(C591)-LEN(SUBSTITUTE(C591,":",""))=2,"","0:")&amp;C591)*86400,"")/VALUE(SUBSTITUTE(B591,"K","")),0)/60)&amp;":"&amp;TEXT(MOD(ROUND(IFERROR(TIMEVALUE(IF(LEN(C591)-LEN(SUBSTITUTE(C591,":",""))=2,"","0:")&amp;C591)*86400,"")/VALUE(SUBSTITUTE(B591,"K","")),0),60),"00"),""))</f>
        <v/>
      </c>
      <c r="G591" s="21">
        <f>IF(A591="","",IF(COUNTIF(Atletas!$A$2:$A$302,A591)&gt;0,"Sí","No"))</f>
        <v/>
      </c>
    </row>
    <row r="592">
      <c r="A592" s="17" t="n"/>
      <c r="B592" s="17" t="n"/>
      <c r="C592" s="18" t="n"/>
      <c r="D592" s="19" t="n"/>
      <c r="E592" s="17" t="n"/>
      <c r="F592" s="21">
        <f>IF(OR(B592="",C592=""),"",IFERROR(INT(ROUND(IFERROR(TIMEVALUE(IF(LEN(C592)-LEN(SUBSTITUTE(C592,":",""))=2,"","0:")&amp;C592)*86400,"")/VALUE(SUBSTITUTE(B592,"K","")),0)/60)&amp;":"&amp;TEXT(MOD(ROUND(IFERROR(TIMEVALUE(IF(LEN(C592)-LEN(SUBSTITUTE(C592,":",""))=2,"","0:")&amp;C592)*86400,"")/VALUE(SUBSTITUTE(B592,"K","")),0),60),"00"),""))</f>
        <v/>
      </c>
      <c r="G592" s="21">
        <f>IF(A592="","",IF(COUNTIF(Atletas!$A$2:$A$302,A592)&gt;0,"Sí","No"))</f>
        <v/>
      </c>
    </row>
    <row r="593">
      <c r="A593" s="17" t="n"/>
      <c r="B593" s="17" t="n"/>
      <c r="C593" s="18" t="n"/>
      <c r="D593" s="19" t="n"/>
      <c r="E593" s="17" t="n"/>
      <c r="F593" s="21">
        <f>IF(OR(B593="",C593=""),"",IFERROR(INT(ROUND(IFERROR(TIMEVALUE(IF(LEN(C593)-LEN(SUBSTITUTE(C593,":",""))=2,"","0:")&amp;C593)*86400,"")/VALUE(SUBSTITUTE(B593,"K","")),0)/60)&amp;":"&amp;TEXT(MOD(ROUND(IFERROR(TIMEVALUE(IF(LEN(C593)-LEN(SUBSTITUTE(C593,":",""))=2,"","0:")&amp;C593)*86400,"")/VALUE(SUBSTITUTE(B593,"K","")),0),60),"00"),""))</f>
        <v/>
      </c>
      <c r="G593" s="21">
        <f>IF(A593="","",IF(COUNTIF(Atletas!$A$2:$A$302,A593)&gt;0,"Sí","No"))</f>
        <v/>
      </c>
    </row>
    <row r="594">
      <c r="A594" s="17" t="n"/>
      <c r="B594" s="17" t="n"/>
      <c r="C594" s="18" t="n"/>
      <c r="D594" s="19" t="n"/>
      <c r="E594" s="17" t="n"/>
      <c r="F594" s="21">
        <f>IF(OR(B594="",C594=""),"",IFERROR(INT(ROUND(IFERROR(TIMEVALUE(IF(LEN(C594)-LEN(SUBSTITUTE(C594,":",""))=2,"","0:")&amp;C594)*86400,"")/VALUE(SUBSTITUTE(B594,"K","")),0)/60)&amp;":"&amp;TEXT(MOD(ROUND(IFERROR(TIMEVALUE(IF(LEN(C594)-LEN(SUBSTITUTE(C594,":",""))=2,"","0:")&amp;C594)*86400,"")/VALUE(SUBSTITUTE(B594,"K","")),0),60),"00"),""))</f>
        <v/>
      </c>
      <c r="G594" s="21">
        <f>IF(A594="","",IF(COUNTIF(Atletas!$A$2:$A$302,A594)&gt;0,"Sí","No"))</f>
        <v/>
      </c>
    </row>
    <row r="595">
      <c r="A595" s="17" t="n"/>
      <c r="B595" s="17" t="n"/>
      <c r="C595" s="18" t="n"/>
      <c r="D595" s="19" t="n"/>
      <c r="E595" s="17" t="n"/>
      <c r="F595" s="21">
        <f>IF(OR(B595="",C595=""),"",IFERROR(INT(ROUND(IFERROR(TIMEVALUE(IF(LEN(C595)-LEN(SUBSTITUTE(C595,":",""))=2,"","0:")&amp;C595)*86400,"")/VALUE(SUBSTITUTE(B595,"K","")),0)/60)&amp;":"&amp;TEXT(MOD(ROUND(IFERROR(TIMEVALUE(IF(LEN(C595)-LEN(SUBSTITUTE(C595,":",""))=2,"","0:")&amp;C595)*86400,"")/VALUE(SUBSTITUTE(B595,"K","")),0),60),"00"),""))</f>
        <v/>
      </c>
      <c r="G595" s="21">
        <f>IF(A595="","",IF(COUNTIF(Atletas!$A$2:$A$302,A595)&gt;0,"Sí","No"))</f>
        <v/>
      </c>
    </row>
    <row r="596">
      <c r="A596" s="17" t="n"/>
      <c r="B596" s="17" t="n"/>
      <c r="C596" s="18" t="n"/>
      <c r="D596" s="19" t="n"/>
      <c r="E596" s="17" t="n"/>
      <c r="F596" s="21">
        <f>IF(OR(B596="",C596=""),"",IFERROR(INT(ROUND(IFERROR(TIMEVALUE(IF(LEN(C596)-LEN(SUBSTITUTE(C596,":",""))=2,"","0:")&amp;C596)*86400,"")/VALUE(SUBSTITUTE(B596,"K","")),0)/60)&amp;":"&amp;TEXT(MOD(ROUND(IFERROR(TIMEVALUE(IF(LEN(C596)-LEN(SUBSTITUTE(C596,":",""))=2,"","0:")&amp;C596)*86400,"")/VALUE(SUBSTITUTE(B596,"K","")),0),60),"00"),""))</f>
        <v/>
      </c>
      <c r="G596" s="21">
        <f>IF(A596="","",IF(COUNTIF(Atletas!$A$2:$A$302,A596)&gt;0,"Sí","No"))</f>
        <v/>
      </c>
    </row>
    <row r="597">
      <c r="A597" s="17" t="n"/>
      <c r="B597" s="17" t="n"/>
      <c r="C597" s="18" t="n"/>
      <c r="D597" s="19" t="n"/>
      <c r="E597" s="17" t="n"/>
      <c r="F597" s="21">
        <f>IF(OR(B597="",C597=""),"",IFERROR(INT(ROUND(IFERROR(TIMEVALUE(IF(LEN(C597)-LEN(SUBSTITUTE(C597,":",""))=2,"","0:")&amp;C597)*86400,"")/VALUE(SUBSTITUTE(B597,"K","")),0)/60)&amp;":"&amp;TEXT(MOD(ROUND(IFERROR(TIMEVALUE(IF(LEN(C597)-LEN(SUBSTITUTE(C597,":",""))=2,"","0:")&amp;C597)*86400,"")/VALUE(SUBSTITUTE(B597,"K","")),0),60),"00"),""))</f>
        <v/>
      </c>
      <c r="G597" s="21">
        <f>IF(A597="","",IF(COUNTIF(Atletas!$A$2:$A$302,A597)&gt;0,"Sí","No"))</f>
        <v/>
      </c>
    </row>
    <row r="598">
      <c r="A598" s="17" t="n"/>
      <c r="B598" s="17" t="n"/>
      <c r="C598" s="18" t="n"/>
      <c r="D598" s="19" t="n"/>
      <c r="E598" s="17" t="n"/>
      <c r="F598" s="21">
        <f>IF(OR(B598="",C598=""),"",IFERROR(INT(ROUND(IFERROR(TIMEVALUE(IF(LEN(C598)-LEN(SUBSTITUTE(C598,":",""))=2,"","0:")&amp;C598)*86400,"")/VALUE(SUBSTITUTE(B598,"K","")),0)/60)&amp;":"&amp;TEXT(MOD(ROUND(IFERROR(TIMEVALUE(IF(LEN(C598)-LEN(SUBSTITUTE(C598,":",""))=2,"","0:")&amp;C598)*86400,"")/VALUE(SUBSTITUTE(B598,"K","")),0),60),"00"),""))</f>
        <v/>
      </c>
      <c r="G598" s="21">
        <f>IF(A598="","",IF(COUNTIF(Atletas!$A$2:$A$302,A598)&gt;0,"Sí","No"))</f>
        <v/>
      </c>
    </row>
    <row r="599">
      <c r="A599" s="17" t="n"/>
      <c r="B599" s="17" t="n"/>
      <c r="C599" s="18" t="n"/>
      <c r="D599" s="19" t="n"/>
      <c r="E599" s="17" t="n"/>
      <c r="F599" s="21">
        <f>IF(OR(B599="",C599=""),"",IFERROR(INT(ROUND(IFERROR(TIMEVALUE(IF(LEN(C599)-LEN(SUBSTITUTE(C599,":",""))=2,"","0:")&amp;C599)*86400,"")/VALUE(SUBSTITUTE(B599,"K","")),0)/60)&amp;":"&amp;TEXT(MOD(ROUND(IFERROR(TIMEVALUE(IF(LEN(C599)-LEN(SUBSTITUTE(C599,":",""))=2,"","0:")&amp;C599)*86400,"")/VALUE(SUBSTITUTE(B599,"K","")),0),60),"00"),""))</f>
        <v/>
      </c>
      <c r="G599" s="21">
        <f>IF(A599="","",IF(COUNTIF(Atletas!$A$2:$A$302,A599)&gt;0,"Sí","No"))</f>
        <v/>
      </c>
    </row>
    <row r="600">
      <c r="A600" s="17" t="n"/>
      <c r="B600" s="17" t="n"/>
      <c r="C600" s="18" t="n"/>
      <c r="D600" s="19" t="n"/>
      <c r="E600" s="17" t="n"/>
      <c r="F600" s="21">
        <f>IF(OR(B600="",C600=""),"",IFERROR(INT(ROUND(IFERROR(TIMEVALUE(IF(LEN(C600)-LEN(SUBSTITUTE(C600,":",""))=2,"","0:")&amp;C600)*86400,"")/VALUE(SUBSTITUTE(B600,"K","")),0)/60)&amp;":"&amp;TEXT(MOD(ROUND(IFERROR(TIMEVALUE(IF(LEN(C600)-LEN(SUBSTITUTE(C600,":",""))=2,"","0:")&amp;C600)*86400,"")/VALUE(SUBSTITUTE(B600,"K","")),0),60),"00"),""))</f>
        <v/>
      </c>
      <c r="G600" s="21">
        <f>IF(A600="","",IF(COUNTIF(Atletas!$A$2:$A$302,A600)&gt;0,"Sí","No"))</f>
        <v/>
      </c>
    </row>
    <row r="601">
      <c r="A601" s="17" t="n"/>
      <c r="B601" s="17" t="n"/>
      <c r="C601" s="18" t="n"/>
      <c r="D601" s="19" t="n"/>
      <c r="E601" s="17" t="n"/>
      <c r="F601" s="21">
        <f>IF(OR(B601="",C601=""),"",IFERROR(INT(ROUND(IFERROR(TIMEVALUE(IF(LEN(C601)-LEN(SUBSTITUTE(C601,":",""))=2,"","0:")&amp;C601)*86400,"")/VALUE(SUBSTITUTE(B601,"K","")),0)/60)&amp;":"&amp;TEXT(MOD(ROUND(IFERROR(TIMEVALUE(IF(LEN(C601)-LEN(SUBSTITUTE(C601,":",""))=2,"","0:")&amp;C601)*86400,"")/VALUE(SUBSTITUTE(B601,"K","")),0),60),"00"),""))</f>
        <v/>
      </c>
      <c r="G601" s="21">
        <f>IF(A601="","",IF(COUNTIF(Atletas!$A$2:$A$302,A601)&gt;0,"Sí","No"))</f>
        <v/>
      </c>
    </row>
    <row r="602">
      <c r="A602" s="17" t="n"/>
      <c r="B602" s="17" t="n"/>
      <c r="C602" s="18" t="n"/>
      <c r="D602" s="19" t="n"/>
      <c r="E602" s="17" t="n"/>
      <c r="F602" s="21">
        <f>IF(OR(B602="",C602=""),"",IFERROR(INT(ROUND(IFERROR(TIMEVALUE(IF(LEN(C602)-LEN(SUBSTITUTE(C602,":",""))=2,"","0:")&amp;C602)*86400,"")/VALUE(SUBSTITUTE(B602,"K","")),0)/60)&amp;":"&amp;TEXT(MOD(ROUND(IFERROR(TIMEVALUE(IF(LEN(C602)-LEN(SUBSTITUTE(C602,":",""))=2,"","0:")&amp;C602)*86400,"")/VALUE(SUBSTITUTE(B602,"K","")),0),60),"00"),""))</f>
        <v/>
      </c>
      <c r="G602" s="21">
        <f>IF(A602="","",IF(COUNTIF(Atletas!$A$2:$A$302,A602)&gt;0,"Sí","No"))</f>
        <v/>
      </c>
    </row>
    <row r="603">
      <c r="A603" s="17" t="n"/>
      <c r="B603" s="17" t="n"/>
      <c r="C603" s="18" t="n"/>
      <c r="D603" s="19" t="n"/>
      <c r="E603" s="17" t="n"/>
      <c r="F603" s="21">
        <f>IF(OR(B603="",C603=""),"",IFERROR(INT(ROUND(IFERROR(TIMEVALUE(IF(LEN(C603)-LEN(SUBSTITUTE(C603,":",""))=2,"","0:")&amp;C603)*86400,"")/VALUE(SUBSTITUTE(B603,"K","")),0)/60)&amp;":"&amp;TEXT(MOD(ROUND(IFERROR(TIMEVALUE(IF(LEN(C603)-LEN(SUBSTITUTE(C603,":",""))=2,"","0:")&amp;C603)*86400,"")/VALUE(SUBSTITUTE(B603,"K","")),0),60),"00"),""))</f>
        <v/>
      </c>
      <c r="G603" s="21">
        <f>IF(A603="","",IF(COUNTIF(Atletas!$A$2:$A$302,A603)&gt;0,"Sí","No"))</f>
        <v/>
      </c>
    </row>
    <row r="604">
      <c r="A604" s="17" t="n"/>
      <c r="B604" s="17" t="n"/>
      <c r="C604" s="18" t="n"/>
      <c r="D604" s="19" t="n"/>
      <c r="E604" s="17" t="n"/>
      <c r="F604" s="21">
        <f>IF(OR(B604="",C604=""),"",IFERROR(INT(ROUND(IFERROR(TIMEVALUE(IF(LEN(C604)-LEN(SUBSTITUTE(C604,":",""))=2,"","0:")&amp;C604)*86400,"")/VALUE(SUBSTITUTE(B604,"K","")),0)/60)&amp;":"&amp;TEXT(MOD(ROUND(IFERROR(TIMEVALUE(IF(LEN(C604)-LEN(SUBSTITUTE(C604,":",""))=2,"","0:")&amp;C604)*86400,"")/VALUE(SUBSTITUTE(B604,"K","")),0),60),"00"),""))</f>
        <v/>
      </c>
      <c r="G604" s="21">
        <f>IF(A604="","",IF(COUNTIF(Atletas!$A$2:$A$302,A604)&gt;0,"Sí","No"))</f>
        <v/>
      </c>
    </row>
    <row r="605">
      <c r="A605" s="17" t="n"/>
      <c r="B605" s="17" t="n"/>
      <c r="C605" s="18" t="n"/>
      <c r="D605" s="19" t="n"/>
      <c r="E605" s="17" t="n"/>
      <c r="F605" s="21">
        <f>IF(OR(B605="",C605=""),"",IFERROR(INT(ROUND(IFERROR(TIMEVALUE(IF(LEN(C605)-LEN(SUBSTITUTE(C605,":",""))=2,"","0:")&amp;C605)*86400,"")/VALUE(SUBSTITUTE(B605,"K","")),0)/60)&amp;":"&amp;TEXT(MOD(ROUND(IFERROR(TIMEVALUE(IF(LEN(C605)-LEN(SUBSTITUTE(C605,":",""))=2,"","0:")&amp;C605)*86400,"")/VALUE(SUBSTITUTE(B605,"K","")),0),60),"00"),""))</f>
        <v/>
      </c>
      <c r="G605" s="21">
        <f>IF(A605="","",IF(COUNTIF(Atletas!$A$2:$A$302,A605)&gt;0,"Sí","No"))</f>
        <v/>
      </c>
    </row>
    <row r="606">
      <c r="A606" s="17" t="n"/>
      <c r="B606" s="17" t="n"/>
      <c r="C606" s="18" t="n"/>
      <c r="D606" s="19" t="n"/>
      <c r="E606" s="17" t="n"/>
      <c r="F606" s="21">
        <f>IF(OR(B606="",C606=""),"",IFERROR(INT(ROUND(IFERROR(TIMEVALUE(IF(LEN(C606)-LEN(SUBSTITUTE(C606,":",""))=2,"","0:")&amp;C606)*86400,"")/VALUE(SUBSTITUTE(B606,"K","")),0)/60)&amp;":"&amp;TEXT(MOD(ROUND(IFERROR(TIMEVALUE(IF(LEN(C606)-LEN(SUBSTITUTE(C606,":",""))=2,"","0:")&amp;C606)*86400,"")/VALUE(SUBSTITUTE(B606,"K","")),0),60),"00"),""))</f>
        <v/>
      </c>
      <c r="G606" s="21">
        <f>IF(A606="","",IF(COUNTIF(Atletas!$A$2:$A$302,A606)&gt;0,"Sí","No"))</f>
        <v/>
      </c>
    </row>
    <row r="607">
      <c r="A607" s="17" t="n"/>
      <c r="B607" s="17" t="n"/>
      <c r="C607" s="18" t="n"/>
      <c r="D607" s="19" t="n"/>
      <c r="E607" s="17" t="n"/>
      <c r="F607" s="21">
        <f>IF(OR(B607="",C607=""),"",IFERROR(INT(ROUND(IFERROR(TIMEVALUE(IF(LEN(C607)-LEN(SUBSTITUTE(C607,":",""))=2,"","0:")&amp;C607)*86400,"")/VALUE(SUBSTITUTE(B607,"K","")),0)/60)&amp;":"&amp;TEXT(MOD(ROUND(IFERROR(TIMEVALUE(IF(LEN(C607)-LEN(SUBSTITUTE(C607,":",""))=2,"","0:")&amp;C607)*86400,"")/VALUE(SUBSTITUTE(B607,"K","")),0),60),"00"),""))</f>
        <v/>
      </c>
      <c r="G607" s="21">
        <f>IF(A607="","",IF(COUNTIF(Atletas!$A$2:$A$302,A607)&gt;0,"Sí","No"))</f>
        <v/>
      </c>
    </row>
    <row r="608">
      <c r="A608" s="17" t="n"/>
      <c r="B608" s="17" t="n"/>
      <c r="C608" s="18" t="n"/>
      <c r="D608" s="19" t="n"/>
      <c r="E608" s="17" t="n"/>
      <c r="F608" s="21">
        <f>IF(OR(B608="",C608=""),"",IFERROR(INT(ROUND(IFERROR(TIMEVALUE(IF(LEN(C608)-LEN(SUBSTITUTE(C608,":",""))=2,"","0:")&amp;C608)*86400,"")/VALUE(SUBSTITUTE(B608,"K","")),0)/60)&amp;":"&amp;TEXT(MOD(ROUND(IFERROR(TIMEVALUE(IF(LEN(C608)-LEN(SUBSTITUTE(C608,":",""))=2,"","0:")&amp;C608)*86400,"")/VALUE(SUBSTITUTE(B608,"K","")),0),60),"00"),""))</f>
        <v/>
      </c>
      <c r="G608" s="21">
        <f>IF(A608="","",IF(COUNTIF(Atletas!$A$2:$A$302,A608)&gt;0,"Sí","No"))</f>
        <v/>
      </c>
    </row>
    <row r="609">
      <c r="A609" s="17" t="n"/>
      <c r="B609" s="17" t="n"/>
      <c r="C609" s="18" t="n"/>
      <c r="D609" s="19" t="n"/>
      <c r="E609" s="17" t="n"/>
      <c r="F609" s="21">
        <f>IF(OR(B609="",C609=""),"",IFERROR(INT(ROUND(IFERROR(TIMEVALUE(IF(LEN(C609)-LEN(SUBSTITUTE(C609,":",""))=2,"","0:")&amp;C609)*86400,"")/VALUE(SUBSTITUTE(B609,"K","")),0)/60)&amp;":"&amp;TEXT(MOD(ROUND(IFERROR(TIMEVALUE(IF(LEN(C609)-LEN(SUBSTITUTE(C609,":",""))=2,"","0:")&amp;C609)*86400,"")/VALUE(SUBSTITUTE(B609,"K","")),0),60),"00"),""))</f>
        <v/>
      </c>
      <c r="G609" s="21">
        <f>IF(A609="","",IF(COUNTIF(Atletas!$A$2:$A$302,A609)&gt;0,"Sí","No"))</f>
        <v/>
      </c>
    </row>
    <row r="610">
      <c r="A610" s="17" t="n"/>
      <c r="B610" s="17" t="n"/>
      <c r="C610" s="18" t="n"/>
      <c r="D610" s="19" t="n"/>
      <c r="E610" s="17" t="n"/>
      <c r="F610" s="21">
        <f>IF(OR(B610="",C610=""),"",IFERROR(INT(ROUND(IFERROR(TIMEVALUE(IF(LEN(C610)-LEN(SUBSTITUTE(C610,":",""))=2,"","0:")&amp;C610)*86400,"")/VALUE(SUBSTITUTE(B610,"K","")),0)/60)&amp;":"&amp;TEXT(MOD(ROUND(IFERROR(TIMEVALUE(IF(LEN(C610)-LEN(SUBSTITUTE(C610,":",""))=2,"","0:")&amp;C610)*86400,"")/VALUE(SUBSTITUTE(B610,"K","")),0),60),"00"),""))</f>
        <v/>
      </c>
      <c r="G610" s="21">
        <f>IF(A610="","",IF(COUNTIF(Atletas!$A$2:$A$302,A610)&gt;0,"Sí","No"))</f>
        <v/>
      </c>
    </row>
    <row r="611">
      <c r="A611" s="17" t="n"/>
      <c r="B611" s="17" t="n"/>
      <c r="C611" s="18" t="n"/>
      <c r="D611" s="19" t="n"/>
      <c r="E611" s="17" t="n"/>
      <c r="F611" s="21">
        <f>IF(OR(B611="",C611=""),"",IFERROR(INT(ROUND(IFERROR(TIMEVALUE(IF(LEN(C611)-LEN(SUBSTITUTE(C611,":",""))=2,"","0:")&amp;C611)*86400,"")/VALUE(SUBSTITUTE(B611,"K","")),0)/60)&amp;":"&amp;TEXT(MOD(ROUND(IFERROR(TIMEVALUE(IF(LEN(C611)-LEN(SUBSTITUTE(C611,":",""))=2,"","0:")&amp;C611)*86400,"")/VALUE(SUBSTITUTE(B611,"K","")),0),60),"00"),""))</f>
        <v/>
      </c>
      <c r="G611" s="21">
        <f>IF(A611="","",IF(COUNTIF(Atletas!$A$2:$A$302,A611)&gt;0,"Sí","No"))</f>
        <v/>
      </c>
    </row>
    <row r="612">
      <c r="A612" s="17" t="n"/>
      <c r="B612" s="17" t="n"/>
      <c r="C612" s="18" t="n"/>
      <c r="D612" s="19" t="n"/>
      <c r="E612" s="17" t="n"/>
      <c r="F612" s="21">
        <f>IF(OR(B612="",C612=""),"",IFERROR(INT(ROUND(IFERROR(TIMEVALUE(IF(LEN(C612)-LEN(SUBSTITUTE(C612,":",""))=2,"","0:")&amp;C612)*86400,"")/VALUE(SUBSTITUTE(B612,"K","")),0)/60)&amp;":"&amp;TEXT(MOD(ROUND(IFERROR(TIMEVALUE(IF(LEN(C612)-LEN(SUBSTITUTE(C612,":",""))=2,"","0:")&amp;C612)*86400,"")/VALUE(SUBSTITUTE(B612,"K","")),0),60),"00"),""))</f>
        <v/>
      </c>
      <c r="G612" s="21">
        <f>IF(A612="","",IF(COUNTIF(Atletas!$A$2:$A$302,A612)&gt;0,"Sí","No"))</f>
        <v/>
      </c>
    </row>
    <row r="613">
      <c r="A613" s="17" t="n"/>
      <c r="B613" s="17" t="n"/>
      <c r="C613" s="18" t="n"/>
      <c r="D613" s="19" t="n"/>
      <c r="E613" s="17" t="n"/>
      <c r="F613" s="21">
        <f>IF(OR(B613="",C613=""),"",IFERROR(INT(ROUND(IFERROR(TIMEVALUE(IF(LEN(C613)-LEN(SUBSTITUTE(C613,":",""))=2,"","0:")&amp;C613)*86400,"")/VALUE(SUBSTITUTE(B613,"K","")),0)/60)&amp;":"&amp;TEXT(MOD(ROUND(IFERROR(TIMEVALUE(IF(LEN(C613)-LEN(SUBSTITUTE(C613,":",""))=2,"","0:")&amp;C613)*86400,"")/VALUE(SUBSTITUTE(B613,"K","")),0),60),"00"),""))</f>
        <v/>
      </c>
      <c r="G613" s="21">
        <f>IF(A613="","",IF(COUNTIF(Atletas!$A$2:$A$302,A613)&gt;0,"Sí","No"))</f>
        <v/>
      </c>
    </row>
    <row r="614">
      <c r="A614" s="17" t="n"/>
      <c r="B614" s="17" t="n"/>
      <c r="C614" s="18" t="n"/>
      <c r="D614" s="19" t="n"/>
      <c r="E614" s="17" t="n"/>
      <c r="F614" s="21">
        <f>IF(OR(B614="",C614=""),"",IFERROR(INT(ROUND(IFERROR(TIMEVALUE(IF(LEN(C614)-LEN(SUBSTITUTE(C614,":",""))=2,"","0:")&amp;C614)*86400,"")/VALUE(SUBSTITUTE(B614,"K","")),0)/60)&amp;":"&amp;TEXT(MOD(ROUND(IFERROR(TIMEVALUE(IF(LEN(C614)-LEN(SUBSTITUTE(C614,":",""))=2,"","0:")&amp;C614)*86400,"")/VALUE(SUBSTITUTE(B614,"K","")),0),60),"00"),""))</f>
        <v/>
      </c>
      <c r="G614" s="21">
        <f>IF(A614="","",IF(COUNTIF(Atletas!$A$2:$A$302,A614)&gt;0,"Sí","No"))</f>
        <v/>
      </c>
    </row>
    <row r="615">
      <c r="A615" s="17" t="n"/>
      <c r="B615" s="17" t="n"/>
      <c r="C615" s="18" t="n"/>
      <c r="D615" s="19" t="n"/>
      <c r="E615" s="17" t="n"/>
      <c r="F615" s="21">
        <f>IF(OR(B615="",C615=""),"",IFERROR(INT(ROUND(IFERROR(TIMEVALUE(IF(LEN(C615)-LEN(SUBSTITUTE(C615,":",""))=2,"","0:")&amp;C615)*86400,"")/VALUE(SUBSTITUTE(B615,"K","")),0)/60)&amp;":"&amp;TEXT(MOD(ROUND(IFERROR(TIMEVALUE(IF(LEN(C615)-LEN(SUBSTITUTE(C615,":",""))=2,"","0:")&amp;C615)*86400,"")/VALUE(SUBSTITUTE(B615,"K","")),0),60),"00"),""))</f>
        <v/>
      </c>
      <c r="G615" s="21">
        <f>IF(A615="","",IF(COUNTIF(Atletas!$A$2:$A$302,A615)&gt;0,"Sí","No"))</f>
        <v/>
      </c>
    </row>
    <row r="616">
      <c r="A616" s="17" t="n"/>
      <c r="B616" s="17" t="n"/>
      <c r="C616" s="18" t="n"/>
      <c r="D616" s="19" t="n"/>
      <c r="E616" s="17" t="n"/>
      <c r="F616" s="21">
        <f>IF(OR(B616="",C616=""),"",IFERROR(INT(ROUND(IFERROR(TIMEVALUE(IF(LEN(C616)-LEN(SUBSTITUTE(C616,":",""))=2,"","0:")&amp;C616)*86400,"")/VALUE(SUBSTITUTE(B616,"K","")),0)/60)&amp;":"&amp;TEXT(MOD(ROUND(IFERROR(TIMEVALUE(IF(LEN(C616)-LEN(SUBSTITUTE(C616,":",""))=2,"","0:")&amp;C616)*86400,"")/VALUE(SUBSTITUTE(B616,"K","")),0),60),"00"),""))</f>
        <v/>
      </c>
      <c r="G616" s="21">
        <f>IF(A616="","",IF(COUNTIF(Atletas!$A$2:$A$302,A616)&gt;0,"Sí","No"))</f>
        <v/>
      </c>
    </row>
    <row r="617">
      <c r="A617" s="17" t="n"/>
      <c r="B617" s="17" t="n"/>
      <c r="C617" s="18" t="n"/>
      <c r="D617" s="19" t="n"/>
      <c r="E617" s="17" t="n"/>
      <c r="F617" s="21">
        <f>IF(OR(B617="",C617=""),"",IFERROR(INT(ROUND(IFERROR(TIMEVALUE(IF(LEN(C617)-LEN(SUBSTITUTE(C617,":",""))=2,"","0:")&amp;C617)*86400,"")/VALUE(SUBSTITUTE(B617,"K","")),0)/60)&amp;":"&amp;TEXT(MOD(ROUND(IFERROR(TIMEVALUE(IF(LEN(C617)-LEN(SUBSTITUTE(C617,":",""))=2,"","0:")&amp;C617)*86400,"")/VALUE(SUBSTITUTE(B617,"K","")),0),60),"00"),""))</f>
        <v/>
      </c>
      <c r="G617" s="21">
        <f>IF(A617="","",IF(COUNTIF(Atletas!$A$2:$A$302,A617)&gt;0,"Sí","No"))</f>
        <v/>
      </c>
    </row>
    <row r="618">
      <c r="A618" s="17" t="n"/>
      <c r="B618" s="17" t="n"/>
      <c r="C618" s="18" t="n"/>
      <c r="D618" s="19" t="n"/>
      <c r="E618" s="17" t="n"/>
      <c r="F618" s="21">
        <f>IF(OR(B618="",C618=""),"",IFERROR(INT(ROUND(IFERROR(TIMEVALUE(IF(LEN(C618)-LEN(SUBSTITUTE(C618,":",""))=2,"","0:")&amp;C618)*86400,"")/VALUE(SUBSTITUTE(B618,"K","")),0)/60)&amp;":"&amp;TEXT(MOD(ROUND(IFERROR(TIMEVALUE(IF(LEN(C618)-LEN(SUBSTITUTE(C618,":",""))=2,"","0:")&amp;C618)*86400,"")/VALUE(SUBSTITUTE(B618,"K","")),0),60),"00"),""))</f>
        <v/>
      </c>
      <c r="G618" s="21">
        <f>IF(A618="","",IF(COUNTIF(Atletas!$A$2:$A$302,A618)&gt;0,"Sí","No"))</f>
        <v/>
      </c>
    </row>
    <row r="619">
      <c r="A619" s="17" t="n"/>
      <c r="B619" s="17" t="n"/>
      <c r="C619" s="18" t="n"/>
      <c r="D619" s="19" t="n"/>
      <c r="E619" s="17" t="n"/>
      <c r="F619" s="21">
        <f>IF(OR(B619="",C619=""),"",IFERROR(INT(ROUND(IFERROR(TIMEVALUE(IF(LEN(C619)-LEN(SUBSTITUTE(C619,":",""))=2,"","0:")&amp;C619)*86400,"")/VALUE(SUBSTITUTE(B619,"K","")),0)/60)&amp;":"&amp;TEXT(MOD(ROUND(IFERROR(TIMEVALUE(IF(LEN(C619)-LEN(SUBSTITUTE(C619,":",""))=2,"","0:")&amp;C619)*86400,"")/VALUE(SUBSTITUTE(B619,"K","")),0),60),"00"),""))</f>
        <v/>
      </c>
      <c r="G619" s="21">
        <f>IF(A619="","",IF(COUNTIF(Atletas!$A$2:$A$302,A619)&gt;0,"Sí","No"))</f>
        <v/>
      </c>
    </row>
    <row r="620">
      <c r="A620" s="17" t="n"/>
      <c r="B620" s="17" t="n"/>
      <c r="C620" s="18" t="n"/>
      <c r="D620" s="19" t="n"/>
      <c r="E620" s="17" t="n"/>
      <c r="F620" s="21">
        <f>IF(OR(B620="",C620=""),"",IFERROR(INT(ROUND(IFERROR(TIMEVALUE(IF(LEN(C620)-LEN(SUBSTITUTE(C620,":",""))=2,"","0:")&amp;C620)*86400,"")/VALUE(SUBSTITUTE(B620,"K","")),0)/60)&amp;":"&amp;TEXT(MOD(ROUND(IFERROR(TIMEVALUE(IF(LEN(C620)-LEN(SUBSTITUTE(C620,":",""))=2,"","0:")&amp;C620)*86400,"")/VALUE(SUBSTITUTE(B620,"K","")),0),60),"00"),""))</f>
        <v/>
      </c>
      <c r="G620" s="21">
        <f>IF(A620="","",IF(COUNTIF(Atletas!$A$2:$A$302,A620)&gt;0,"Sí","No"))</f>
        <v/>
      </c>
    </row>
    <row r="621">
      <c r="A621" s="17" t="n"/>
      <c r="B621" s="17" t="n"/>
      <c r="C621" s="18" t="n"/>
      <c r="D621" s="19" t="n"/>
      <c r="E621" s="17" t="n"/>
      <c r="F621" s="21">
        <f>IF(OR(B621="",C621=""),"",IFERROR(INT(ROUND(IFERROR(TIMEVALUE(IF(LEN(C621)-LEN(SUBSTITUTE(C621,":",""))=2,"","0:")&amp;C621)*86400,"")/VALUE(SUBSTITUTE(B621,"K","")),0)/60)&amp;":"&amp;TEXT(MOD(ROUND(IFERROR(TIMEVALUE(IF(LEN(C621)-LEN(SUBSTITUTE(C621,":",""))=2,"","0:")&amp;C621)*86400,"")/VALUE(SUBSTITUTE(B621,"K","")),0),60),"00"),""))</f>
        <v/>
      </c>
      <c r="G621" s="21">
        <f>IF(A621="","",IF(COUNTIF(Atletas!$A$2:$A$302,A621)&gt;0,"Sí","No"))</f>
        <v/>
      </c>
    </row>
    <row r="622">
      <c r="A622" s="17" t="n"/>
      <c r="B622" s="17" t="n"/>
      <c r="C622" s="18" t="n"/>
      <c r="D622" s="19" t="n"/>
      <c r="E622" s="17" t="n"/>
      <c r="F622" s="21">
        <f>IF(OR(B622="",C622=""),"",IFERROR(INT(ROUND(IFERROR(TIMEVALUE(IF(LEN(C622)-LEN(SUBSTITUTE(C622,":",""))=2,"","0:")&amp;C622)*86400,"")/VALUE(SUBSTITUTE(B622,"K","")),0)/60)&amp;":"&amp;TEXT(MOD(ROUND(IFERROR(TIMEVALUE(IF(LEN(C622)-LEN(SUBSTITUTE(C622,":",""))=2,"","0:")&amp;C622)*86400,"")/VALUE(SUBSTITUTE(B622,"K","")),0),60),"00"),""))</f>
        <v/>
      </c>
      <c r="G622" s="21">
        <f>IF(A622="","",IF(COUNTIF(Atletas!$A$2:$A$302,A622)&gt;0,"Sí","No"))</f>
        <v/>
      </c>
    </row>
    <row r="623">
      <c r="A623" s="17" t="n"/>
      <c r="B623" s="17" t="n"/>
      <c r="C623" s="18" t="n"/>
      <c r="D623" s="19" t="n"/>
      <c r="E623" s="17" t="n"/>
      <c r="F623" s="21">
        <f>IF(OR(B623="",C623=""),"",IFERROR(INT(ROUND(IFERROR(TIMEVALUE(IF(LEN(C623)-LEN(SUBSTITUTE(C623,":",""))=2,"","0:")&amp;C623)*86400,"")/VALUE(SUBSTITUTE(B623,"K","")),0)/60)&amp;":"&amp;TEXT(MOD(ROUND(IFERROR(TIMEVALUE(IF(LEN(C623)-LEN(SUBSTITUTE(C623,":",""))=2,"","0:")&amp;C623)*86400,"")/VALUE(SUBSTITUTE(B623,"K","")),0),60),"00"),""))</f>
        <v/>
      </c>
      <c r="G623" s="21">
        <f>IF(A623="","",IF(COUNTIF(Atletas!$A$2:$A$302,A623)&gt;0,"Sí","No"))</f>
        <v/>
      </c>
    </row>
    <row r="624">
      <c r="A624" s="17" t="n"/>
      <c r="B624" s="17" t="n"/>
      <c r="C624" s="18" t="n"/>
      <c r="D624" s="19" t="n"/>
      <c r="E624" s="17" t="n"/>
      <c r="F624" s="21">
        <f>IF(OR(B624="",C624=""),"",IFERROR(INT(ROUND(IFERROR(TIMEVALUE(IF(LEN(C624)-LEN(SUBSTITUTE(C624,":",""))=2,"","0:")&amp;C624)*86400,"")/VALUE(SUBSTITUTE(B624,"K","")),0)/60)&amp;":"&amp;TEXT(MOD(ROUND(IFERROR(TIMEVALUE(IF(LEN(C624)-LEN(SUBSTITUTE(C624,":",""))=2,"","0:")&amp;C624)*86400,"")/VALUE(SUBSTITUTE(B624,"K","")),0),60),"00"),""))</f>
        <v/>
      </c>
      <c r="G624" s="21">
        <f>IF(A624="","",IF(COUNTIF(Atletas!$A$2:$A$302,A624)&gt;0,"Sí","No"))</f>
        <v/>
      </c>
    </row>
    <row r="625">
      <c r="A625" s="17" t="n"/>
      <c r="B625" s="17" t="n"/>
      <c r="C625" s="18" t="n"/>
      <c r="D625" s="19" t="n"/>
      <c r="E625" s="17" t="n"/>
      <c r="F625" s="21">
        <f>IF(OR(B625="",C625=""),"",IFERROR(INT(ROUND(IFERROR(TIMEVALUE(IF(LEN(C625)-LEN(SUBSTITUTE(C625,":",""))=2,"","0:")&amp;C625)*86400,"")/VALUE(SUBSTITUTE(B625,"K","")),0)/60)&amp;":"&amp;TEXT(MOD(ROUND(IFERROR(TIMEVALUE(IF(LEN(C625)-LEN(SUBSTITUTE(C625,":",""))=2,"","0:")&amp;C625)*86400,"")/VALUE(SUBSTITUTE(B625,"K","")),0),60),"00"),""))</f>
        <v/>
      </c>
      <c r="G625" s="21">
        <f>IF(A625="","",IF(COUNTIF(Atletas!$A$2:$A$302,A625)&gt;0,"Sí","No"))</f>
        <v/>
      </c>
    </row>
    <row r="626">
      <c r="A626" s="17" t="n"/>
      <c r="B626" s="17" t="n"/>
      <c r="C626" s="18" t="n"/>
      <c r="D626" s="19" t="n"/>
      <c r="E626" s="17" t="n"/>
      <c r="F626" s="21">
        <f>IF(OR(B626="",C626=""),"",IFERROR(INT(ROUND(IFERROR(TIMEVALUE(IF(LEN(C626)-LEN(SUBSTITUTE(C626,":",""))=2,"","0:")&amp;C626)*86400,"")/VALUE(SUBSTITUTE(B626,"K","")),0)/60)&amp;":"&amp;TEXT(MOD(ROUND(IFERROR(TIMEVALUE(IF(LEN(C626)-LEN(SUBSTITUTE(C626,":",""))=2,"","0:")&amp;C626)*86400,"")/VALUE(SUBSTITUTE(B626,"K","")),0),60),"00"),""))</f>
        <v/>
      </c>
      <c r="G626" s="21">
        <f>IF(A626="","",IF(COUNTIF(Atletas!$A$2:$A$302,A626)&gt;0,"Sí","No"))</f>
        <v/>
      </c>
    </row>
    <row r="627">
      <c r="A627" s="17" t="n"/>
      <c r="B627" s="17" t="n"/>
      <c r="C627" s="18" t="n"/>
      <c r="D627" s="19" t="n"/>
      <c r="E627" s="17" t="n"/>
      <c r="F627" s="21">
        <f>IF(OR(B627="",C627=""),"",IFERROR(INT(ROUND(IFERROR(TIMEVALUE(IF(LEN(C627)-LEN(SUBSTITUTE(C627,":",""))=2,"","0:")&amp;C627)*86400,"")/VALUE(SUBSTITUTE(B627,"K","")),0)/60)&amp;":"&amp;TEXT(MOD(ROUND(IFERROR(TIMEVALUE(IF(LEN(C627)-LEN(SUBSTITUTE(C627,":",""))=2,"","0:")&amp;C627)*86400,"")/VALUE(SUBSTITUTE(B627,"K","")),0),60),"00"),""))</f>
        <v/>
      </c>
      <c r="G627" s="21">
        <f>IF(A627="","",IF(COUNTIF(Atletas!$A$2:$A$302,A627)&gt;0,"Sí","No"))</f>
        <v/>
      </c>
    </row>
    <row r="628">
      <c r="A628" s="17" t="n"/>
      <c r="B628" s="17" t="n"/>
      <c r="C628" s="18" t="n"/>
      <c r="D628" s="19" t="n"/>
      <c r="E628" s="17" t="n"/>
      <c r="F628" s="21">
        <f>IF(OR(B628="",C628=""),"",IFERROR(INT(ROUND(IFERROR(TIMEVALUE(IF(LEN(C628)-LEN(SUBSTITUTE(C628,":",""))=2,"","0:")&amp;C628)*86400,"")/VALUE(SUBSTITUTE(B628,"K","")),0)/60)&amp;":"&amp;TEXT(MOD(ROUND(IFERROR(TIMEVALUE(IF(LEN(C628)-LEN(SUBSTITUTE(C628,":",""))=2,"","0:")&amp;C628)*86400,"")/VALUE(SUBSTITUTE(B628,"K","")),0),60),"00"),""))</f>
        <v/>
      </c>
      <c r="G628" s="21">
        <f>IF(A628="","",IF(COUNTIF(Atletas!$A$2:$A$302,A628)&gt;0,"Sí","No"))</f>
        <v/>
      </c>
    </row>
    <row r="629">
      <c r="A629" s="17" t="n"/>
      <c r="B629" s="17" t="n"/>
      <c r="C629" s="18" t="n"/>
      <c r="D629" s="19" t="n"/>
      <c r="E629" s="17" t="n"/>
      <c r="F629" s="21">
        <f>IF(OR(B629="",C629=""),"",IFERROR(INT(ROUND(IFERROR(TIMEVALUE(IF(LEN(C629)-LEN(SUBSTITUTE(C629,":",""))=2,"","0:")&amp;C629)*86400,"")/VALUE(SUBSTITUTE(B629,"K","")),0)/60)&amp;":"&amp;TEXT(MOD(ROUND(IFERROR(TIMEVALUE(IF(LEN(C629)-LEN(SUBSTITUTE(C629,":",""))=2,"","0:")&amp;C629)*86400,"")/VALUE(SUBSTITUTE(B629,"K","")),0),60),"00"),""))</f>
        <v/>
      </c>
      <c r="G629" s="21">
        <f>IF(A629="","",IF(COUNTIF(Atletas!$A$2:$A$302,A629)&gt;0,"Sí","No"))</f>
        <v/>
      </c>
    </row>
    <row r="630">
      <c r="A630" s="17" t="n"/>
      <c r="B630" s="17" t="n"/>
      <c r="C630" s="18" t="n"/>
      <c r="D630" s="19" t="n"/>
      <c r="E630" s="17" t="n"/>
      <c r="F630" s="21">
        <f>IF(OR(B630="",C630=""),"",IFERROR(INT(ROUND(IFERROR(TIMEVALUE(IF(LEN(C630)-LEN(SUBSTITUTE(C630,":",""))=2,"","0:")&amp;C630)*86400,"")/VALUE(SUBSTITUTE(B630,"K","")),0)/60)&amp;":"&amp;TEXT(MOD(ROUND(IFERROR(TIMEVALUE(IF(LEN(C630)-LEN(SUBSTITUTE(C630,":",""))=2,"","0:")&amp;C630)*86400,"")/VALUE(SUBSTITUTE(B630,"K","")),0),60),"00"),""))</f>
        <v/>
      </c>
      <c r="G630" s="21">
        <f>IF(A630="","",IF(COUNTIF(Atletas!$A$2:$A$302,A630)&gt;0,"Sí","No"))</f>
        <v/>
      </c>
    </row>
    <row r="631">
      <c r="A631" s="17" t="n"/>
      <c r="B631" s="17" t="n"/>
      <c r="C631" s="18" t="n"/>
      <c r="D631" s="19" t="n"/>
      <c r="E631" s="17" t="n"/>
      <c r="F631" s="21">
        <f>IF(OR(B631="",C631=""),"",IFERROR(INT(ROUND(IFERROR(TIMEVALUE(IF(LEN(C631)-LEN(SUBSTITUTE(C631,":",""))=2,"","0:")&amp;C631)*86400,"")/VALUE(SUBSTITUTE(B631,"K","")),0)/60)&amp;":"&amp;TEXT(MOD(ROUND(IFERROR(TIMEVALUE(IF(LEN(C631)-LEN(SUBSTITUTE(C631,":",""))=2,"","0:")&amp;C631)*86400,"")/VALUE(SUBSTITUTE(B631,"K","")),0),60),"00"),""))</f>
        <v/>
      </c>
      <c r="G631" s="21">
        <f>IF(A631="","",IF(COUNTIF(Atletas!$A$2:$A$302,A631)&gt;0,"Sí","No"))</f>
        <v/>
      </c>
    </row>
    <row r="632">
      <c r="A632" s="17" t="n"/>
      <c r="B632" s="17" t="n"/>
      <c r="C632" s="18" t="n"/>
      <c r="D632" s="19" t="n"/>
      <c r="E632" s="17" t="n"/>
      <c r="F632" s="21">
        <f>IF(OR(B632="",C632=""),"",IFERROR(INT(ROUND(IFERROR(TIMEVALUE(IF(LEN(C632)-LEN(SUBSTITUTE(C632,":",""))=2,"","0:")&amp;C632)*86400,"")/VALUE(SUBSTITUTE(B632,"K","")),0)/60)&amp;":"&amp;TEXT(MOD(ROUND(IFERROR(TIMEVALUE(IF(LEN(C632)-LEN(SUBSTITUTE(C632,":",""))=2,"","0:")&amp;C632)*86400,"")/VALUE(SUBSTITUTE(B632,"K","")),0),60),"00"),""))</f>
        <v/>
      </c>
      <c r="G632" s="21">
        <f>IF(A632="","",IF(COUNTIF(Atletas!$A$2:$A$302,A632)&gt;0,"Sí","No"))</f>
        <v/>
      </c>
    </row>
    <row r="633">
      <c r="A633" s="17" t="n"/>
      <c r="B633" s="17" t="n"/>
      <c r="C633" s="18" t="n"/>
      <c r="D633" s="19" t="n"/>
      <c r="E633" s="17" t="n"/>
      <c r="F633" s="21">
        <f>IF(OR(B633="",C633=""),"",IFERROR(INT(ROUND(IFERROR(TIMEVALUE(IF(LEN(C633)-LEN(SUBSTITUTE(C633,":",""))=2,"","0:")&amp;C633)*86400,"")/VALUE(SUBSTITUTE(B633,"K","")),0)/60)&amp;":"&amp;TEXT(MOD(ROUND(IFERROR(TIMEVALUE(IF(LEN(C633)-LEN(SUBSTITUTE(C633,":",""))=2,"","0:")&amp;C633)*86400,"")/VALUE(SUBSTITUTE(B633,"K","")),0),60),"00"),""))</f>
        <v/>
      </c>
      <c r="G633" s="21">
        <f>IF(A633="","",IF(COUNTIF(Atletas!$A$2:$A$302,A633)&gt;0,"Sí","No"))</f>
        <v/>
      </c>
    </row>
    <row r="634">
      <c r="A634" s="17" t="n"/>
      <c r="B634" s="17" t="n"/>
      <c r="C634" s="18" t="n"/>
      <c r="D634" s="19" t="n"/>
      <c r="E634" s="17" t="n"/>
      <c r="F634" s="21">
        <f>IF(OR(B634="",C634=""),"",IFERROR(INT(ROUND(IFERROR(TIMEVALUE(IF(LEN(C634)-LEN(SUBSTITUTE(C634,":",""))=2,"","0:")&amp;C634)*86400,"")/VALUE(SUBSTITUTE(B634,"K","")),0)/60)&amp;":"&amp;TEXT(MOD(ROUND(IFERROR(TIMEVALUE(IF(LEN(C634)-LEN(SUBSTITUTE(C634,":",""))=2,"","0:")&amp;C634)*86400,"")/VALUE(SUBSTITUTE(B634,"K","")),0),60),"00"),""))</f>
        <v/>
      </c>
      <c r="G634" s="21">
        <f>IF(A634="","",IF(COUNTIF(Atletas!$A$2:$A$302,A634)&gt;0,"Sí","No"))</f>
        <v/>
      </c>
    </row>
    <row r="635">
      <c r="A635" s="17" t="n"/>
      <c r="B635" s="17" t="n"/>
      <c r="C635" s="18" t="n"/>
      <c r="D635" s="19" t="n"/>
      <c r="E635" s="17" t="n"/>
      <c r="F635" s="21">
        <f>IF(OR(B635="",C635=""),"",IFERROR(INT(ROUND(IFERROR(TIMEVALUE(IF(LEN(C635)-LEN(SUBSTITUTE(C635,":",""))=2,"","0:")&amp;C635)*86400,"")/VALUE(SUBSTITUTE(B635,"K","")),0)/60)&amp;":"&amp;TEXT(MOD(ROUND(IFERROR(TIMEVALUE(IF(LEN(C635)-LEN(SUBSTITUTE(C635,":",""))=2,"","0:")&amp;C635)*86400,"")/VALUE(SUBSTITUTE(B635,"K","")),0),60),"00"),""))</f>
        <v/>
      </c>
      <c r="G635" s="21">
        <f>IF(A635="","",IF(COUNTIF(Atletas!$A$2:$A$302,A635)&gt;0,"Sí","No"))</f>
        <v/>
      </c>
    </row>
    <row r="636">
      <c r="A636" s="17" t="n"/>
      <c r="B636" s="17" t="n"/>
      <c r="C636" s="18" t="n"/>
      <c r="D636" s="19" t="n"/>
      <c r="E636" s="17" t="n"/>
      <c r="F636" s="21">
        <f>IF(OR(B636="",C636=""),"",IFERROR(INT(ROUND(IFERROR(TIMEVALUE(IF(LEN(C636)-LEN(SUBSTITUTE(C636,":",""))=2,"","0:")&amp;C636)*86400,"")/VALUE(SUBSTITUTE(B636,"K","")),0)/60)&amp;":"&amp;TEXT(MOD(ROUND(IFERROR(TIMEVALUE(IF(LEN(C636)-LEN(SUBSTITUTE(C636,":",""))=2,"","0:")&amp;C636)*86400,"")/VALUE(SUBSTITUTE(B636,"K","")),0),60),"00"),""))</f>
        <v/>
      </c>
      <c r="G636" s="21">
        <f>IF(A636="","",IF(COUNTIF(Atletas!$A$2:$A$302,A636)&gt;0,"Sí","No"))</f>
        <v/>
      </c>
    </row>
    <row r="637">
      <c r="A637" s="17" t="n"/>
      <c r="B637" s="17" t="n"/>
      <c r="C637" s="18" t="n"/>
      <c r="D637" s="19" t="n"/>
      <c r="E637" s="17" t="n"/>
      <c r="F637" s="21">
        <f>IF(OR(B637="",C637=""),"",IFERROR(INT(ROUND(IFERROR(TIMEVALUE(IF(LEN(C637)-LEN(SUBSTITUTE(C637,":",""))=2,"","0:")&amp;C637)*86400,"")/VALUE(SUBSTITUTE(B637,"K","")),0)/60)&amp;":"&amp;TEXT(MOD(ROUND(IFERROR(TIMEVALUE(IF(LEN(C637)-LEN(SUBSTITUTE(C637,":",""))=2,"","0:")&amp;C637)*86400,"")/VALUE(SUBSTITUTE(B637,"K","")),0),60),"00"),""))</f>
        <v/>
      </c>
      <c r="G637" s="21">
        <f>IF(A637="","",IF(COUNTIF(Atletas!$A$2:$A$302,A637)&gt;0,"Sí","No"))</f>
        <v/>
      </c>
    </row>
    <row r="638">
      <c r="A638" s="17" t="n"/>
      <c r="B638" s="17" t="n"/>
      <c r="C638" s="18" t="n"/>
      <c r="D638" s="19" t="n"/>
      <c r="E638" s="17" t="n"/>
      <c r="F638" s="21">
        <f>IF(OR(B638="",C638=""),"",IFERROR(INT(ROUND(IFERROR(TIMEVALUE(IF(LEN(C638)-LEN(SUBSTITUTE(C638,":",""))=2,"","0:")&amp;C638)*86400,"")/VALUE(SUBSTITUTE(B638,"K","")),0)/60)&amp;":"&amp;TEXT(MOD(ROUND(IFERROR(TIMEVALUE(IF(LEN(C638)-LEN(SUBSTITUTE(C638,":",""))=2,"","0:")&amp;C638)*86400,"")/VALUE(SUBSTITUTE(B638,"K","")),0),60),"00"),""))</f>
        <v/>
      </c>
      <c r="G638" s="21">
        <f>IF(A638="","",IF(COUNTIF(Atletas!$A$2:$A$302,A638)&gt;0,"Sí","No"))</f>
        <v/>
      </c>
    </row>
    <row r="639">
      <c r="A639" s="17" t="n"/>
      <c r="B639" s="17" t="n"/>
      <c r="C639" s="18" t="n"/>
      <c r="D639" s="19" t="n"/>
      <c r="E639" s="17" t="n"/>
      <c r="F639" s="21">
        <f>IF(OR(B639="",C639=""),"",IFERROR(INT(ROUND(IFERROR(TIMEVALUE(IF(LEN(C639)-LEN(SUBSTITUTE(C639,":",""))=2,"","0:")&amp;C639)*86400,"")/VALUE(SUBSTITUTE(B639,"K","")),0)/60)&amp;":"&amp;TEXT(MOD(ROUND(IFERROR(TIMEVALUE(IF(LEN(C639)-LEN(SUBSTITUTE(C639,":",""))=2,"","0:")&amp;C639)*86400,"")/VALUE(SUBSTITUTE(B639,"K","")),0),60),"00"),""))</f>
        <v/>
      </c>
      <c r="G639" s="21">
        <f>IF(A639="","",IF(COUNTIF(Atletas!$A$2:$A$302,A639)&gt;0,"Sí","No"))</f>
        <v/>
      </c>
    </row>
    <row r="640">
      <c r="A640" s="17" t="n"/>
      <c r="B640" s="17" t="n"/>
      <c r="C640" s="18" t="n"/>
      <c r="D640" s="19" t="n"/>
      <c r="E640" s="17" t="n"/>
      <c r="F640" s="21">
        <f>IF(OR(B640="",C640=""),"",IFERROR(INT(ROUND(IFERROR(TIMEVALUE(IF(LEN(C640)-LEN(SUBSTITUTE(C640,":",""))=2,"","0:")&amp;C640)*86400,"")/VALUE(SUBSTITUTE(B640,"K","")),0)/60)&amp;":"&amp;TEXT(MOD(ROUND(IFERROR(TIMEVALUE(IF(LEN(C640)-LEN(SUBSTITUTE(C640,":",""))=2,"","0:")&amp;C640)*86400,"")/VALUE(SUBSTITUTE(B640,"K","")),0),60),"00"),""))</f>
        <v/>
      </c>
      <c r="G640" s="21">
        <f>IF(A640="","",IF(COUNTIF(Atletas!$A$2:$A$302,A640)&gt;0,"Sí","No"))</f>
        <v/>
      </c>
    </row>
    <row r="641">
      <c r="A641" s="17" t="n"/>
      <c r="B641" s="17" t="n"/>
      <c r="C641" s="18" t="n"/>
      <c r="D641" s="19" t="n"/>
      <c r="E641" s="17" t="n"/>
      <c r="F641" s="21">
        <f>IF(OR(B641="",C641=""),"",IFERROR(INT(ROUND(IFERROR(TIMEVALUE(IF(LEN(C641)-LEN(SUBSTITUTE(C641,":",""))=2,"","0:")&amp;C641)*86400,"")/VALUE(SUBSTITUTE(B641,"K","")),0)/60)&amp;":"&amp;TEXT(MOD(ROUND(IFERROR(TIMEVALUE(IF(LEN(C641)-LEN(SUBSTITUTE(C641,":",""))=2,"","0:")&amp;C641)*86400,"")/VALUE(SUBSTITUTE(B641,"K","")),0),60),"00"),""))</f>
        <v/>
      </c>
      <c r="G641" s="21">
        <f>IF(A641="","",IF(COUNTIF(Atletas!$A$2:$A$302,A641)&gt;0,"Sí","No"))</f>
        <v/>
      </c>
    </row>
    <row r="642">
      <c r="A642" s="17" t="n"/>
      <c r="B642" s="17" t="n"/>
      <c r="C642" s="18" t="n"/>
      <c r="D642" s="19" t="n"/>
      <c r="E642" s="17" t="n"/>
      <c r="F642" s="21">
        <f>IF(OR(B642="",C642=""),"",IFERROR(INT(ROUND(IFERROR(TIMEVALUE(IF(LEN(C642)-LEN(SUBSTITUTE(C642,":",""))=2,"","0:")&amp;C642)*86400,"")/VALUE(SUBSTITUTE(B642,"K","")),0)/60)&amp;":"&amp;TEXT(MOD(ROUND(IFERROR(TIMEVALUE(IF(LEN(C642)-LEN(SUBSTITUTE(C642,":",""))=2,"","0:")&amp;C642)*86400,"")/VALUE(SUBSTITUTE(B642,"K","")),0),60),"00"),""))</f>
        <v/>
      </c>
      <c r="G642" s="21">
        <f>IF(A642="","",IF(COUNTIF(Atletas!$A$2:$A$302,A642)&gt;0,"Sí","No"))</f>
        <v/>
      </c>
    </row>
    <row r="643">
      <c r="A643" s="17" t="n"/>
      <c r="B643" s="17" t="n"/>
      <c r="C643" s="18" t="n"/>
      <c r="D643" s="19" t="n"/>
      <c r="E643" s="17" t="n"/>
      <c r="F643" s="21">
        <f>IF(OR(B643="",C643=""),"",IFERROR(INT(ROUND(IFERROR(TIMEVALUE(IF(LEN(C643)-LEN(SUBSTITUTE(C643,":",""))=2,"","0:")&amp;C643)*86400,"")/VALUE(SUBSTITUTE(B643,"K","")),0)/60)&amp;":"&amp;TEXT(MOD(ROUND(IFERROR(TIMEVALUE(IF(LEN(C643)-LEN(SUBSTITUTE(C643,":",""))=2,"","0:")&amp;C643)*86400,"")/VALUE(SUBSTITUTE(B643,"K","")),0),60),"00"),""))</f>
        <v/>
      </c>
      <c r="G643" s="21">
        <f>IF(A643="","",IF(COUNTIF(Atletas!$A$2:$A$302,A643)&gt;0,"Sí","No"))</f>
        <v/>
      </c>
    </row>
    <row r="644">
      <c r="A644" s="17" t="n"/>
      <c r="B644" s="17" t="n"/>
      <c r="C644" s="18" t="n"/>
      <c r="D644" s="19" t="n"/>
      <c r="E644" s="17" t="n"/>
      <c r="F644" s="21">
        <f>IF(OR(B644="",C644=""),"",IFERROR(INT(ROUND(IFERROR(TIMEVALUE(IF(LEN(C644)-LEN(SUBSTITUTE(C644,":",""))=2,"","0:")&amp;C644)*86400,"")/VALUE(SUBSTITUTE(B644,"K","")),0)/60)&amp;":"&amp;TEXT(MOD(ROUND(IFERROR(TIMEVALUE(IF(LEN(C644)-LEN(SUBSTITUTE(C644,":",""))=2,"","0:")&amp;C644)*86400,"")/VALUE(SUBSTITUTE(B644,"K","")),0),60),"00"),""))</f>
        <v/>
      </c>
      <c r="G644" s="21">
        <f>IF(A644="","",IF(COUNTIF(Atletas!$A$2:$A$302,A644)&gt;0,"Sí","No"))</f>
        <v/>
      </c>
    </row>
    <row r="645">
      <c r="A645" s="17" t="n"/>
      <c r="B645" s="17" t="n"/>
      <c r="C645" s="18" t="n"/>
      <c r="D645" s="19" t="n"/>
      <c r="E645" s="17" t="n"/>
      <c r="F645" s="21">
        <f>IF(OR(B645="",C645=""),"",IFERROR(INT(ROUND(IFERROR(TIMEVALUE(IF(LEN(C645)-LEN(SUBSTITUTE(C645,":",""))=2,"","0:")&amp;C645)*86400,"")/VALUE(SUBSTITUTE(B645,"K","")),0)/60)&amp;":"&amp;TEXT(MOD(ROUND(IFERROR(TIMEVALUE(IF(LEN(C645)-LEN(SUBSTITUTE(C645,":",""))=2,"","0:")&amp;C645)*86400,"")/VALUE(SUBSTITUTE(B645,"K","")),0),60),"00"),""))</f>
        <v/>
      </c>
      <c r="G645" s="21">
        <f>IF(A645="","",IF(COUNTIF(Atletas!$A$2:$A$302,A645)&gt;0,"Sí","No"))</f>
        <v/>
      </c>
    </row>
    <row r="646">
      <c r="A646" s="17" t="n"/>
      <c r="B646" s="17" t="n"/>
      <c r="C646" s="18" t="n"/>
      <c r="D646" s="19" t="n"/>
      <c r="E646" s="17" t="n"/>
      <c r="F646" s="21">
        <f>IF(OR(B646="",C646=""),"",IFERROR(INT(ROUND(IFERROR(TIMEVALUE(IF(LEN(C646)-LEN(SUBSTITUTE(C646,":",""))=2,"","0:")&amp;C646)*86400,"")/VALUE(SUBSTITUTE(B646,"K","")),0)/60)&amp;":"&amp;TEXT(MOD(ROUND(IFERROR(TIMEVALUE(IF(LEN(C646)-LEN(SUBSTITUTE(C646,":",""))=2,"","0:")&amp;C646)*86400,"")/VALUE(SUBSTITUTE(B646,"K","")),0),60),"00"),""))</f>
        <v/>
      </c>
      <c r="G646" s="21">
        <f>IF(A646="","",IF(COUNTIF(Atletas!$A$2:$A$302,A646)&gt;0,"Sí","No"))</f>
        <v/>
      </c>
    </row>
    <row r="647">
      <c r="A647" s="17" t="n"/>
      <c r="B647" s="17" t="n"/>
      <c r="C647" s="18" t="n"/>
      <c r="D647" s="19" t="n"/>
      <c r="E647" s="17" t="n"/>
      <c r="F647" s="21">
        <f>IF(OR(B647="",C647=""),"",IFERROR(INT(ROUND(IFERROR(TIMEVALUE(IF(LEN(C647)-LEN(SUBSTITUTE(C647,":",""))=2,"","0:")&amp;C647)*86400,"")/VALUE(SUBSTITUTE(B647,"K","")),0)/60)&amp;":"&amp;TEXT(MOD(ROUND(IFERROR(TIMEVALUE(IF(LEN(C647)-LEN(SUBSTITUTE(C647,":",""))=2,"","0:")&amp;C647)*86400,"")/VALUE(SUBSTITUTE(B647,"K","")),0),60),"00"),""))</f>
        <v/>
      </c>
      <c r="G647" s="21">
        <f>IF(A647="","",IF(COUNTIF(Atletas!$A$2:$A$302,A647)&gt;0,"Sí","No"))</f>
        <v/>
      </c>
    </row>
    <row r="648">
      <c r="A648" s="17" t="n"/>
      <c r="B648" s="17" t="n"/>
      <c r="C648" s="18" t="n"/>
      <c r="D648" s="19" t="n"/>
      <c r="E648" s="17" t="n"/>
      <c r="F648" s="21">
        <f>IF(OR(B648="",C648=""),"",IFERROR(INT(ROUND(IFERROR(TIMEVALUE(IF(LEN(C648)-LEN(SUBSTITUTE(C648,":",""))=2,"","0:")&amp;C648)*86400,"")/VALUE(SUBSTITUTE(B648,"K","")),0)/60)&amp;":"&amp;TEXT(MOD(ROUND(IFERROR(TIMEVALUE(IF(LEN(C648)-LEN(SUBSTITUTE(C648,":",""))=2,"","0:")&amp;C648)*86400,"")/VALUE(SUBSTITUTE(B648,"K","")),0),60),"00"),""))</f>
        <v/>
      </c>
      <c r="G648" s="21">
        <f>IF(A648="","",IF(COUNTIF(Atletas!$A$2:$A$302,A648)&gt;0,"Sí","No"))</f>
        <v/>
      </c>
    </row>
    <row r="649">
      <c r="A649" s="17" t="n"/>
      <c r="B649" s="17" t="n"/>
      <c r="C649" s="18" t="n"/>
      <c r="D649" s="19" t="n"/>
      <c r="E649" s="17" t="n"/>
      <c r="F649" s="21">
        <f>IF(OR(B649="",C649=""),"",IFERROR(INT(ROUND(IFERROR(TIMEVALUE(IF(LEN(C649)-LEN(SUBSTITUTE(C649,":",""))=2,"","0:")&amp;C649)*86400,"")/VALUE(SUBSTITUTE(B649,"K","")),0)/60)&amp;":"&amp;TEXT(MOD(ROUND(IFERROR(TIMEVALUE(IF(LEN(C649)-LEN(SUBSTITUTE(C649,":",""))=2,"","0:")&amp;C649)*86400,"")/VALUE(SUBSTITUTE(B649,"K","")),0),60),"00"),""))</f>
        <v/>
      </c>
      <c r="G649" s="21">
        <f>IF(A649="","",IF(COUNTIF(Atletas!$A$2:$A$302,A649)&gt;0,"Sí","No"))</f>
        <v/>
      </c>
    </row>
    <row r="650">
      <c r="A650" s="17" t="n"/>
      <c r="B650" s="17" t="n"/>
      <c r="C650" s="18" t="n"/>
      <c r="D650" s="19" t="n"/>
      <c r="E650" s="17" t="n"/>
      <c r="F650" s="21">
        <f>IF(OR(B650="",C650=""),"",IFERROR(INT(ROUND(IFERROR(TIMEVALUE(IF(LEN(C650)-LEN(SUBSTITUTE(C650,":",""))=2,"","0:")&amp;C650)*86400,"")/VALUE(SUBSTITUTE(B650,"K","")),0)/60)&amp;":"&amp;TEXT(MOD(ROUND(IFERROR(TIMEVALUE(IF(LEN(C650)-LEN(SUBSTITUTE(C650,":",""))=2,"","0:")&amp;C650)*86400,"")/VALUE(SUBSTITUTE(B650,"K","")),0),60),"00"),""))</f>
        <v/>
      </c>
      <c r="G650" s="21">
        <f>IF(A650="","",IF(COUNTIF(Atletas!$A$2:$A$302,A650)&gt;0,"Sí","No"))</f>
        <v/>
      </c>
    </row>
    <row r="651">
      <c r="A651" s="17" t="n"/>
      <c r="B651" s="17" t="n"/>
      <c r="C651" s="18" t="n"/>
      <c r="D651" s="19" t="n"/>
      <c r="E651" s="17" t="n"/>
      <c r="F651" s="21">
        <f>IF(OR(B651="",C651=""),"",IFERROR(INT(ROUND(IFERROR(TIMEVALUE(IF(LEN(C651)-LEN(SUBSTITUTE(C651,":",""))=2,"","0:")&amp;C651)*86400,"")/VALUE(SUBSTITUTE(B651,"K","")),0)/60)&amp;":"&amp;TEXT(MOD(ROUND(IFERROR(TIMEVALUE(IF(LEN(C651)-LEN(SUBSTITUTE(C651,":",""))=2,"","0:")&amp;C651)*86400,"")/VALUE(SUBSTITUTE(B651,"K","")),0),60),"00"),""))</f>
        <v/>
      </c>
      <c r="G651" s="21">
        <f>IF(A651="","",IF(COUNTIF(Atletas!$A$2:$A$302,A651)&gt;0,"Sí","No"))</f>
        <v/>
      </c>
    </row>
    <row r="652">
      <c r="A652" s="17" t="n"/>
      <c r="B652" s="17" t="n"/>
      <c r="C652" s="18" t="n"/>
      <c r="D652" s="19" t="n"/>
      <c r="E652" s="17" t="n"/>
      <c r="F652" s="21">
        <f>IF(OR(B652="",C652=""),"",IFERROR(INT(ROUND(IFERROR(TIMEVALUE(IF(LEN(C652)-LEN(SUBSTITUTE(C652,":",""))=2,"","0:")&amp;C652)*86400,"")/VALUE(SUBSTITUTE(B652,"K","")),0)/60)&amp;":"&amp;TEXT(MOD(ROUND(IFERROR(TIMEVALUE(IF(LEN(C652)-LEN(SUBSTITUTE(C652,":",""))=2,"","0:")&amp;C652)*86400,"")/VALUE(SUBSTITUTE(B652,"K","")),0),60),"00"),""))</f>
        <v/>
      </c>
      <c r="G652" s="21">
        <f>IF(A652="","",IF(COUNTIF(Atletas!$A$2:$A$302,A652)&gt;0,"Sí","No"))</f>
        <v/>
      </c>
    </row>
    <row r="653">
      <c r="A653" s="17" t="n"/>
      <c r="B653" s="17" t="n"/>
      <c r="C653" s="18" t="n"/>
      <c r="D653" s="19" t="n"/>
      <c r="E653" s="17" t="n"/>
      <c r="F653" s="21">
        <f>IF(OR(B653="",C653=""),"",IFERROR(INT(ROUND(IFERROR(TIMEVALUE(IF(LEN(C653)-LEN(SUBSTITUTE(C653,":",""))=2,"","0:")&amp;C653)*86400,"")/VALUE(SUBSTITUTE(B653,"K","")),0)/60)&amp;":"&amp;TEXT(MOD(ROUND(IFERROR(TIMEVALUE(IF(LEN(C653)-LEN(SUBSTITUTE(C653,":",""))=2,"","0:")&amp;C653)*86400,"")/VALUE(SUBSTITUTE(B653,"K","")),0),60),"00"),""))</f>
        <v/>
      </c>
      <c r="G653" s="21">
        <f>IF(A653="","",IF(COUNTIF(Atletas!$A$2:$A$302,A653)&gt;0,"Sí","No"))</f>
        <v/>
      </c>
    </row>
    <row r="654">
      <c r="A654" s="17" t="n"/>
      <c r="B654" s="17" t="n"/>
      <c r="C654" s="18" t="n"/>
      <c r="D654" s="19" t="n"/>
      <c r="E654" s="17" t="n"/>
      <c r="F654" s="21">
        <f>IF(OR(B654="",C654=""),"",IFERROR(INT(ROUND(IFERROR(TIMEVALUE(IF(LEN(C654)-LEN(SUBSTITUTE(C654,":",""))=2,"","0:")&amp;C654)*86400,"")/VALUE(SUBSTITUTE(B654,"K","")),0)/60)&amp;":"&amp;TEXT(MOD(ROUND(IFERROR(TIMEVALUE(IF(LEN(C654)-LEN(SUBSTITUTE(C654,":",""))=2,"","0:")&amp;C654)*86400,"")/VALUE(SUBSTITUTE(B654,"K","")),0),60),"00"),""))</f>
        <v/>
      </c>
      <c r="G654" s="21">
        <f>IF(A654="","",IF(COUNTIF(Atletas!$A$2:$A$302,A654)&gt;0,"Sí","No"))</f>
        <v/>
      </c>
    </row>
    <row r="655">
      <c r="A655" s="17" t="n"/>
      <c r="B655" s="17" t="n"/>
      <c r="C655" s="18" t="n"/>
      <c r="D655" s="19" t="n"/>
      <c r="E655" s="17" t="n"/>
      <c r="F655" s="21">
        <f>IF(OR(B655="",C655=""),"",IFERROR(INT(ROUND(IFERROR(TIMEVALUE(IF(LEN(C655)-LEN(SUBSTITUTE(C655,":",""))=2,"","0:")&amp;C655)*86400,"")/VALUE(SUBSTITUTE(B655,"K","")),0)/60)&amp;":"&amp;TEXT(MOD(ROUND(IFERROR(TIMEVALUE(IF(LEN(C655)-LEN(SUBSTITUTE(C655,":",""))=2,"","0:")&amp;C655)*86400,"")/VALUE(SUBSTITUTE(B655,"K","")),0),60),"00"),""))</f>
        <v/>
      </c>
      <c r="G655" s="21">
        <f>IF(A655="","",IF(COUNTIF(Atletas!$A$2:$A$302,A655)&gt;0,"Sí","No"))</f>
        <v/>
      </c>
    </row>
    <row r="656">
      <c r="A656" s="17" t="n"/>
      <c r="B656" s="17" t="n"/>
      <c r="C656" s="18" t="n"/>
      <c r="D656" s="19" t="n"/>
      <c r="E656" s="17" t="n"/>
      <c r="F656" s="21">
        <f>IF(OR(B656="",C656=""),"",IFERROR(INT(ROUND(IFERROR(TIMEVALUE(IF(LEN(C656)-LEN(SUBSTITUTE(C656,":",""))=2,"","0:")&amp;C656)*86400,"")/VALUE(SUBSTITUTE(B656,"K","")),0)/60)&amp;":"&amp;TEXT(MOD(ROUND(IFERROR(TIMEVALUE(IF(LEN(C656)-LEN(SUBSTITUTE(C656,":",""))=2,"","0:")&amp;C656)*86400,"")/VALUE(SUBSTITUTE(B656,"K","")),0),60),"00"),""))</f>
        <v/>
      </c>
      <c r="G656" s="21">
        <f>IF(A656="","",IF(COUNTIF(Atletas!$A$2:$A$302,A656)&gt;0,"Sí","No"))</f>
        <v/>
      </c>
    </row>
    <row r="657">
      <c r="A657" s="17" t="n"/>
      <c r="B657" s="17" t="n"/>
      <c r="C657" s="18" t="n"/>
      <c r="D657" s="19" t="n"/>
      <c r="E657" s="17" t="n"/>
      <c r="F657" s="21">
        <f>IF(OR(B657="",C657=""),"",IFERROR(INT(ROUND(IFERROR(TIMEVALUE(IF(LEN(C657)-LEN(SUBSTITUTE(C657,":",""))=2,"","0:")&amp;C657)*86400,"")/VALUE(SUBSTITUTE(B657,"K","")),0)/60)&amp;":"&amp;TEXT(MOD(ROUND(IFERROR(TIMEVALUE(IF(LEN(C657)-LEN(SUBSTITUTE(C657,":",""))=2,"","0:")&amp;C657)*86400,"")/VALUE(SUBSTITUTE(B657,"K","")),0),60),"00"),""))</f>
        <v/>
      </c>
      <c r="G657" s="21">
        <f>IF(A657="","",IF(COUNTIF(Atletas!$A$2:$A$302,A657)&gt;0,"Sí","No"))</f>
        <v/>
      </c>
    </row>
    <row r="658">
      <c r="A658" s="17" t="n"/>
      <c r="B658" s="17" t="n"/>
      <c r="C658" s="18" t="n"/>
      <c r="D658" s="19" t="n"/>
      <c r="E658" s="17" t="n"/>
      <c r="F658" s="21">
        <f>IF(OR(B658="",C658=""),"",IFERROR(INT(ROUND(IFERROR(TIMEVALUE(IF(LEN(C658)-LEN(SUBSTITUTE(C658,":",""))=2,"","0:")&amp;C658)*86400,"")/VALUE(SUBSTITUTE(B658,"K","")),0)/60)&amp;":"&amp;TEXT(MOD(ROUND(IFERROR(TIMEVALUE(IF(LEN(C658)-LEN(SUBSTITUTE(C658,":",""))=2,"","0:")&amp;C658)*86400,"")/VALUE(SUBSTITUTE(B658,"K","")),0),60),"00"),""))</f>
        <v/>
      </c>
      <c r="G658" s="21">
        <f>IF(A658="","",IF(COUNTIF(Atletas!$A$2:$A$302,A658)&gt;0,"Sí","No"))</f>
        <v/>
      </c>
    </row>
    <row r="659">
      <c r="A659" s="17" t="n"/>
      <c r="B659" s="17" t="n"/>
      <c r="C659" s="18" t="n"/>
      <c r="D659" s="19" t="n"/>
      <c r="E659" s="17" t="n"/>
      <c r="F659" s="21">
        <f>IF(OR(B659="",C659=""),"",IFERROR(INT(ROUND(IFERROR(TIMEVALUE(IF(LEN(C659)-LEN(SUBSTITUTE(C659,":",""))=2,"","0:")&amp;C659)*86400,"")/VALUE(SUBSTITUTE(B659,"K","")),0)/60)&amp;":"&amp;TEXT(MOD(ROUND(IFERROR(TIMEVALUE(IF(LEN(C659)-LEN(SUBSTITUTE(C659,":",""))=2,"","0:")&amp;C659)*86400,"")/VALUE(SUBSTITUTE(B659,"K","")),0),60),"00"),""))</f>
        <v/>
      </c>
      <c r="G659" s="21">
        <f>IF(A659="","",IF(COUNTIF(Atletas!$A$2:$A$302,A659)&gt;0,"Sí","No"))</f>
        <v/>
      </c>
    </row>
    <row r="660">
      <c r="A660" s="17" t="n"/>
      <c r="B660" s="17" t="n"/>
      <c r="C660" s="18" t="n"/>
      <c r="D660" s="19" t="n"/>
      <c r="E660" s="17" t="n"/>
      <c r="F660" s="21">
        <f>IF(OR(B660="",C660=""),"",IFERROR(INT(ROUND(IFERROR(TIMEVALUE(IF(LEN(C660)-LEN(SUBSTITUTE(C660,":",""))=2,"","0:")&amp;C660)*86400,"")/VALUE(SUBSTITUTE(B660,"K","")),0)/60)&amp;":"&amp;TEXT(MOD(ROUND(IFERROR(TIMEVALUE(IF(LEN(C660)-LEN(SUBSTITUTE(C660,":",""))=2,"","0:")&amp;C660)*86400,"")/VALUE(SUBSTITUTE(B660,"K","")),0),60),"00"),""))</f>
        <v/>
      </c>
      <c r="G660" s="21">
        <f>IF(A660="","",IF(COUNTIF(Atletas!$A$2:$A$302,A660)&gt;0,"Sí","No"))</f>
        <v/>
      </c>
    </row>
    <row r="661">
      <c r="A661" s="17" t="n"/>
      <c r="B661" s="17" t="n"/>
      <c r="C661" s="18" t="n"/>
      <c r="D661" s="19" t="n"/>
      <c r="E661" s="17" t="n"/>
      <c r="F661" s="21">
        <f>IF(OR(B661="",C661=""),"",IFERROR(INT(ROUND(IFERROR(TIMEVALUE(IF(LEN(C661)-LEN(SUBSTITUTE(C661,":",""))=2,"","0:")&amp;C661)*86400,"")/VALUE(SUBSTITUTE(B661,"K","")),0)/60)&amp;":"&amp;TEXT(MOD(ROUND(IFERROR(TIMEVALUE(IF(LEN(C661)-LEN(SUBSTITUTE(C661,":",""))=2,"","0:")&amp;C661)*86400,"")/VALUE(SUBSTITUTE(B661,"K","")),0),60),"00"),""))</f>
        <v/>
      </c>
      <c r="G661" s="21">
        <f>IF(A661="","",IF(COUNTIF(Atletas!$A$2:$A$302,A661)&gt;0,"Sí","No"))</f>
        <v/>
      </c>
    </row>
    <row r="662">
      <c r="A662" s="17" t="n"/>
      <c r="B662" s="17" t="n"/>
      <c r="C662" s="18" t="n"/>
      <c r="D662" s="19" t="n"/>
      <c r="E662" s="17" t="n"/>
      <c r="F662" s="21">
        <f>IF(OR(B662="",C662=""),"",IFERROR(INT(ROUND(IFERROR(TIMEVALUE(IF(LEN(C662)-LEN(SUBSTITUTE(C662,":",""))=2,"","0:")&amp;C662)*86400,"")/VALUE(SUBSTITUTE(B662,"K","")),0)/60)&amp;":"&amp;TEXT(MOD(ROUND(IFERROR(TIMEVALUE(IF(LEN(C662)-LEN(SUBSTITUTE(C662,":",""))=2,"","0:")&amp;C662)*86400,"")/VALUE(SUBSTITUTE(B662,"K","")),0),60),"00"),""))</f>
        <v/>
      </c>
      <c r="G662" s="21">
        <f>IF(A662="","",IF(COUNTIF(Atletas!$A$2:$A$302,A662)&gt;0,"Sí","No"))</f>
        <v/>
      </c>
    </row>
    <row r="663">
      <c r="A663" s="17" t="n"/>
      <c r="B663" s="17" t="n"/>
      <c r="C663" s="18" t="n"/>
      <c r="D663" s="19" t="n"/>
      <c r="E663" s="17" t="n"/>
      <c r="F663" s="21">
        <f>IF(OR(B663="",C663=""),"",IFERROR(INT(ROUND(IFERROR(TIMEVALUE(IF(LEN(C663)-LEN(SUBSTITUTE(C663,":",""))=2,"","0:")&amp;C663)*86400,"")/VALUE(SUBSTITUTE(B663,"K","")),0)/60)&amp;":"&amp;TEXT(MOD(ROUND(IFERROR(TIMEVALUE(IF(LEN(C663)-LEN(SUBSTITUTE(C663,":",""))=2,"","0:")&amp;C663)*86400,"")/VALUE(SUBSTITUTE(B663,"K","")),0),60),"00"),""))</f>
        <v/>
      </c>
      <c r="G663" s="21">
        <f>IF(A663="","",IF(COUNTIF(Atletas!$A$2:$A$302,A663)&gt;0,"Sí","No"))</f>
        <v/>
      </c>
    </row>
    <row r="664">
      <c r="A664" s="17" t="n"/>
      <c r="B664" s="17" t="n"/>
      <c r="C664" s="18" t="n"/>
      <c r="D664" s="19" t="n"/>
      <c r="E664" s="17" t="n"/>
      <c r="F664" s="21">
        <f>IF(OR(B664="",C664=""),"",IFERROR(INT(ROUND(IFERROR(TIMEVALUE(IF(LEN(C664)-LEN(SUBSTITUTE(C664,":",""))=2,"","0:")&amp;C664)*86400,"")/VALUE(SUBSTITUTE(B664,"K","")),0)/60)&amp;":"&amp;TEXT(MOD(ROUND(IFERROR(TIMEVALUE(IF(LEN(C664)-LEN(SUBSTITUTE(C664,":",""))=2,"","0:")&amp;C664)*86400,"")/VALUE(SUBSTITUTE(B664,"K","")),0),60),"00"),""))</f>
        <v/>
      </c>
      <c r="G664" s="21">
        <f>IF(A664="","",IF(COUNTIF(Atletas!$A$2:$A$302,A664)&gt;0,"Sí","No"))</f>
        <v/>
      </c>
    </row>
    <row r="665">
      <c r="A665" s="17" t="n"/>
      <c r="B665" s="17" t="n"/>
      <c r="C665" s="18" t="n"/>
      <c r="D665" s="19" t="n"/>
      <c r="E665" s="17" t="n"/>
      <c r="F665" s="21">
        <f>IF(OR(B665="",C665=""),"",IFERROR(INT(ROUND(IFERROR(TIMEVALUE(IF(LEN(C665)-LEN(SUBSTITUTE(C665,":",""))=2,"","0:")&amp;C665)*86400,"")/VALUE(SUBSTITUTE(B665,"K","")),0)/60)&amp;":"&amp;TEXT(MOD(ROUND(IFERROR(TIMEVALUE(IF(LEN(C665)-LEN(SUBSTITUTE(C665,":",""))=2,"","0:")&amp;C665)*86400,"")/VALUE(SUBSTITUTE(B665,"K","")),0),60),"00"),""))</f>
        <v/>
      </c>
      <c r="G665" s="21">
        <f>IF(A665="","",IF(COUNTIF(Atletas!$A$2:$A$302,A665)&gt;0,"Sí","No"))</f>
        <v/>
      </c>
    </row>
    <row r="666">
      <c r="A666" s="17" t="n"/>
      <c r="B666" s="17" t="n"/>
      <c r="C666" s="18" t="n"/>
      <c r="D666" s="19" t="n"/>
      <c r="E666" s="17" t="n"/>
      <c r="F666" s="21">
        <f>IF(OR(B666="",C666=""),"",IFERROR(INT(ROUND(IFERROR(TIMEVALUE(IF(LEN(C666)-LEN(SUBSTITUTE(C666,":",""))=2,"","0:")&amp;C666)*86400,"")/VALUE(SUBSTITUTE(B666,"K","")),0)/60)&amp;":"&amp;TEXT(MOD(ROUND(IFERROR(TIMEVALUE(IF(LEN(C666)-LEN(SUBSTITUTE(C666,":",""))=2,"","0:")&amp;C666)*86400,"")/VALUE(SUBSTITUTE(B666,"K","")),0),60),"00"),""))</f>
        <v/>
      </c>
      <c r="G666" s="21">
        <f>IF(A666="","",IF(COUNTIF(Atletas!$A$2:$A$302,A666)&gt;0,"Sí","No"))</f>
        <v/>
      </c>
    </row>
    <row r="667">
      <c r="A667" s="17" t="n"/>
      <c r="B667" s="17" t="n"/>
      <c r="C667" s="18" t="n"/>
      <c r="D667" s="19" t="n"/>
      <c r="E667" s="17" t="n"/>
      <c r="F667" s="21">
        <f>IF(OR(B667="",C667=""),"",IFERROR(INT(ROUND(IFERROR(TIMEVALUE(IF(LEN(C667)-LEN(SUBSTITUTE(C667,":",""))=2,"","0:")&amp;C667)*86400,"")/VALUE(SUBSTITUTE(B667,"K","")),0)/60)&amp;":"&amp;TEXT(MOD(ROUND(IFERROR(TIMEVALUE(IF(LEN(C667)-LEN(SUBSTITUTE(C667,":",""))=2,"","0:")&amp;C667)*86400,"")/VALUE(SUBSTITUTE(B667,"K","")),0),60),"00"),""))</f>
        <v/>
      </c>
      <c r="G667" s="21">
        <f>IF(A667="","",IF(COUNTIF(Atletas!$A$2:$A$302,A667)&gt;0,"Sí","No"))</f>
        <v/>
      </c>
    </row>
    <row r="668">
      <c r="A668" s="17" t="n"/>
      <c r="B668" s="17" t="n"/>
      <c r="C668" s="18" t="n"/>
      <c r="D668" s="19" t="n"/>
      <c r="E668" s="17" t="n"/>
      <c r="F668" s="21">
        <f>IF(OR(B668="",C668=""),"",IFERROR(INT(ROUND(IFERROR(TIMEVALUE(IF(LEN(C668)-LEN(SUBSTITUTE(C668,":",""))=2,"","0:")&amp;C668)*86400,"")/VALUE(SUBSTITUTE(B668,"K","")),0)/60)&amp;":"&amp;TEXT(MOD(ROUND(IFERROR(TIMEVALUE(IF(LEN(C668)-LEN(SUBSTITUTE(C668,":",""))=2,"","0:")&amp;C668)*86400,"")/VALUE(SUBSTITUTE(B668,"K","")),0),60),"00"),""))</f>
        <v/>
      </c>
      <c r="G668" s="21">
        <f>IF(A668="","",IF(COUNTIF(Atletas!$A$2:$A$302,A668)&gt;0,"Sí","No"))</f>
        <v/>
      </c>
    </row>
    <row r="669">
      <c r="A669" s="17" t="n"/>
      <c r="B669" s="17" t="n"/>
      <c r="C669" s="18" t="n"/>
      <c r="D669" s="19" t="n"/>
      <c r="E669" s="17" t="n"/>
      <c r="F669" s="21">
        <f>IF(OR(B669="",C669=""),"",IFERROR(INT(ROUND(IFERROR(TIMEVALUE(IF(LEN(C669)-LEN(SUBSTITUTE(C669,":",""))=2,"","0:")&amp;C669)*86400,"")/VALUE(SUBSTITUTE(B669,"K","")),0)/60)&amp;":"&amp;TEXT(MOD(ROUND(IFERROR(TIMEVALUE(IF(LEN(C669)-LEN(SUBSTITUTE(C669,":",""))=2,"","0:")&amp;C669)*86400,"")/VALUE(SUBSTITUTE(B669,"K","")),0),60),"00"),""))</f>
        <v/>
      </c>
      <c r="G669" s="21">
        <f>IF(A669="","",IF(COUNTIF(Atletas!$A$2:$A$302,A669)&gt;0,"Sí","No"))</f>
        <v/>
      </c>
    </row>
    <row r="670">
      <c r="A670" s="17" t="n"/>
      <c r="B670" s="17" t="n"/>
      <c r="C670" s="18" t="n"/>
      <c r="D670" s="19" t="n"/>
      <c r="E670" s="17" t="n"/>
      <c r="F670" s="21">
        <f>IF(OR(B670="",C670=""),"",IFERROR(INT(ROUND(IFERROR(TIMEVALUE(IF(LEN(C670)-LEN(SUBSTITUTE(C670,":",""))=2,"","0:")&amp;C670)*86400,"")/VALUE(SUBSTITUTE(B670,"K","")),0)/60)&amp;":"&amp;TEXT(MOD(ROUND(IFERROR(TIMEVALUE(IF(LEN(C670)-LEN(SUBSTITUTE(C670,":",""))=2,"","0:")&amp;C670)*86400,"")/VALUE(SUBSTITUTE(B670,"K","")),0),60),"00"),""))</f>
        <v/>
      </c>
      <c r="G670" s="21">
        <f>IF(A670="","",IF(COUNTIF(Atletas!$A$2:$A$302,A670)&gt;0,"Sí","No"))</f>
        <v/>
      </c>
    </row>
    <row r="671">
      <c r="A671" s="17" t="n"/>
      <c r="B671" s="17" t="n"/>
      <c r="C671" s="18" t="n"/>
      <c r="D671" s="19" t="n"/>
      <c r="E671" s="17" t="n"/>
      <c r="F671" s="21">
        <f>IF(OR(B671="",C671=""),"",IFERROR(INT(ROUND(IFERROR(TIMEVALUE(IF(LEN(C671)-LEN(SUBSTITUTE(C671,":",""))=2,"","0:")&amp;C671)*86400,"")/VALUE(SUBSTITUTE(B671,"K","")),0)/60)&amp;":"&amp;TEXT(MOD(ROUND(IFERROR(TIMEVALUE(IF(LEN(C671)-LEN(SUBSTITUTE(C671,":",""))=2,"","0:")&amp;C671)*86400,"")/VALUE(SUBSTITUTE(B671,"K","")),0),60),"00"),""))</f>
        <v/>
      </c>
      <c r="G671" s="21">
        <f>IF(A671="","",IF(COUNTIF(Atletas!$A$2:$A$302,A671)&gt;0,"Sí","No"))</f>
        <v/>
      </c>
    </row>
    <row r="672">
      <c r="A672" s="17" t="n"/>
      <c r="B672" s="17" t="n"/>
      <c r="C672" s="18" t="n"/>
      <c r="D672" s="19" t="n"/>
      <c r="E672" s="17" t="n"/>
      <c r="F672" s="21">
        <f>IF(OR(B672="",C672=""),"",IFERROR(INT(ROUND(IFERROR(TIMEVALUE(IF(LEN(C672)-LEN(SUBSTITUTE(C672,":",""))=2,"","0:")&amp;C672)*86400,"")/VALUE(SUBSTITUTE(B672,"K","")),0)/60)&amp;":"&amp;TEXT(MOD(ROUND(IFERROR(TIMEVALUE(IF(LEN(C672)-LEN(SUBSTITUTE(C672,":",""))=2,"","0:")&amp;C672)*86400,"")/VALUE(SUBSTITUTE(B672,"K","")),0),60),"00"),""))</f>
        <v/>
      </c>
      <c r="G672" s="21">
        <f>IF(A672="","",IF(COUNTIF(Atletas!$A$2:$A$302,A672)&gt;0,"Sí","No"))</f>
        <v/>
      </c>
    </row>
    <row r="673">
      <c r="A673" s="17" t="n"/>
      <c r="B673" s="17" t="n"/>
      <c r="C673" s="18" t="n"/>
      <c r="D673" s="19" t="n"/>
      <c r="E673" s="17" t="n"/>
      <c r="F673" s="21">
        <f>IF(OR(B673="",C673=""),"",IFERROR(INT(ROUND(IFERROR(TIMEVALUE(IF(LEN(C673)-LEN(SUBSTITUTE(C673,":",""))=2,"","0:")&amp;C673)*86400,"")/VALUE(SUBSTITUTE(B673,"K","")),0)/60)&amp;":"&amp;TEXT(MOD(ROUND(IFERROR(TIMEVALUE(IF(LEN(C673)-LEN(SUBSTITUTE(C673,":",""))=2,"","0:")&amp;C673)*86400,"")/VALUE(SUBSTITUTE(B673,"K","")),0),60),"00"),""))</f>
        <v/>
      </c>
      <c r="G673" s="21">
        <f>IF(A673="","",IF(COUNTIF(Atletas!$A$2:$A$302,A673)&gt;0,"Sí","No"))</f>
        <v/>
      </c>
    </row>
    <row r="674">
      <c r="A674" s="17" t="n"/>
      <c r="B674" s="17" t="n"/>
      <c r="C674" s="18" t="n"/>
      <c r="D674" s="19" t="n"/>
      <c r="E674" s="17" t="n"/>
      <c r="F674" s="21">
        <f>IF(OR(B674="",C674=""),"",IFERROR(INT(ROUND(IFERROR(TIMEVALUE(IF(LEN(C674)-LEN(SUBSTITUTE(C674,":",""))=2,"","0:")&amp;C674)*86400,"")/VALUE(SUBSTITUTE(B674,"K","")),0)/60)&amp;":"&amp;TEXT(MOD(ROUND(IFERROR(TIMEVALUE(IF(LEN(C674)-LEN(SUBSTITUTE(C674,":",""))=2,"","0:")&amp;C674)*86400,"")/VALUE(SUBSTITUTE(B674,"K","")),0),60),"00"),""))</f>
        <v/>
      </c>
      <c r="G674" s="21">
        <f>IF(A674="","",IF(COUNTIF(Atletas!$A$2:$A$302,A674)&gt;0,"Sí","No"))</f>
        <v/>
      </c>
    </row>
    <row r="675">
      <c r="A675" s="17" t="n"/>
      <c r="B675" s="17" t="n"/>
      <c r="C675" s="18" t="n"/>
      <c r="D675" s="19" t="n"/>
      <c r="E675" s="17" t="n"/>
      <c r="F675" s="21">
        <f>IF(OR(B675="",C675=""),"",IFERROR(INT(ROUND(IFERROR(TIMEVALUE(IF(LEN(C675)-LEN(SUBSTITUTE(C675,":",""))=2,"","0:")&amp;C675)*86400,"")/VALUE(SUBSTITUTE(B675,"K","")),0)/60)&amp;":"&amp;TEXT(MOD(ROUND(IFERROR(TIMEVALUE(IF(LEN(C675)-LEN(SUBSTITUTE(C675,":",""))=2,"","0:")&amp;C675)*86400,"")/VALUE(SUBSTITUTE(B675,"K","")),0),60),"00"),""))</f>
        <v/>
      </c>
      <c r="G675" s="21">
        <f>IF(A675="","",IF(COUNTIF(Atletas!$A$2:$A$302,A675)&gt;0,"Sí","No"))</f>
        <v/>
      </c>
    </row>
    <row r="676">
      <c r="A676" s="17" t="n"/>
      <c r="B676" s="17" t="n"/>
      <c r="C676" s="18" t="n"/>
      <c r="D676" s="19" t="n"/>
      <c r="E676" s="17" t="n"/>
      <c r="F676" s="21">
        <f>IF(OR(B676="",C676=""),"",IFERROR(INT(ROUND(IFERROR(TIMEVALUE(IF(LEN(C676)-LEN(SUBSTITUTE(C676,":",""))=2,"","0:")&amp;C676)*86400,"")/VALUE(SUBSTITUTE(B676,"K","")),0)/60)&amp;":"&amp;TEXT(MOD(ROUND(IFERROR(TIMEVALUE(IF(LEN(C676)-LEN(SUBSTITUTE(C676,":",""))=2,"","0:")&amp;C676)*86400,"")/VALUE(SUBSTITUTE(B676,"K","")),0),60),"00"),""))</f>
        <v/>
      </c>
      <c r="G676" s="21">
        <f>IF(A676="","",IF(COUNTIF(Atletas!$A$2:$A$302,A676)&gt;0,"Sí","No"))</f>
        <v/>
      </c>
    </row>
    <row r="677">
      <c r="A677" s="17" t="n"/>
      <c r="B677" s="17" t="n"/>
      <c r="C677" s="18" t="n"/>
      <c r="D677" s="19" t="n"/>
      <c r="E677" s="17" t="n"/>
      <c r="F677" s="21">
        <f>IF(OR(B677="",C677=""),"",IFERROR(INT(ROUND(IFERROR(TIMEVALUE(IF(LEN(C677)-LEN(SUBSTITUTE(C677,":",""))=2,"","0:")&amp;C677)*86400,"")/VALUE(SUBSTITUTE(B677,"K","")),0)/60)&amp;":"&amp;TEXT(MOD(ROUND(IFERROR(TIMEVALUE(IF(LEN(C677)-LEN(SUBSTITUTE(C677,":",""))=2,"","0:")&amp;C677)*86400,"")/VALUE(SUBSTITUTE(B677,"K","")),0),60),"00"),""))</f>
        <v/>
      </c>
      <c r="G677" s="21">
        <f>IF(A677="","",IF(COUNTIF(Atletas!$A$2:$A$302,A677)&gt;0,"Sí","No"))</f>
        <v/>
      </c>
    </row>
    <row r="678">
      <c r="A678" s="17" t="n"/>
      <c r="B678" s="17" t="n"/>
      <c r="C678" s="18" t="n"/>
      <c r="D678" s="19" t="n"/>
      <c r="E678" s="17" t="n"/>
      <c r="F678" s="21">
        <f>IF(OR(B678="",C678=""),"",IFERROR(INT(ROUND(IFERROR(TIMEVALUE(IF(LEN(C678)-LEN(SUBSTITUTE(C678,":",""))=2,"","0:")&amp;C678)*86400,"")/VALUE(SUBSTITUTE(B678,"K","")),0)/60)&amp;":"&amp;TEXT(MOD(ROUND(IFERROR(TIMEVALUE(IF(LEN(C678)-LEN(SUBSTITUTE(C678,":",""))=2,"","0:")&amp;C678)*86400,"")/VALUE(SUBSTITUTE(B678,"K","")),0),60),"00"),""))</f>
        <v/>
      </c>
      <c r="G678" s="21">
        <f>IF(A678="","",IF(COUNTIF(Atletas!$A$2:$A$302,A678)&gt;0,"Sí","No"))</f>
        <v/>
      </c>
    </row>
    <row r="679">
      <c r="A679" s="17" t="n"/>
      <c r="B679" s="17" t="n"/>
      <c r="C679" s="18" t="n"/>
      <c r="D679" s="19" t="n"/>
      <c r="E679" s="17" t="n"/>
      <c r="F679" s="21">
        <f>IF(OR(B679="",C679=""),"",IFERROR(INT(ROUND(IFERROR(TIMEVALUE(IF(LEN(C679)-LEN(SUBSTITUTE(C679,":",""))=2,"","0:")&amp;C679)*86400,"")/VALUE(SUBSTITUTE(B679,"K","")),0)/60)&amp;":"&amp;TEXT(MOD(ROUND(IFERROR(TIMEVALUE(IF(LEN(C679)-LEN(SUBSTITUTE(C679,":",""))=2,"","0:")&amp;C679)*86400,"")/VALUE(SUBSTITUTE(B679,"K","")),0),60),"00"),""))</f>
        <v/>
      </c>
      <c r="G679" s="21">
        <f>IF(A679="","",IF(COUNTIF(Atletas!$A$2:$A$302,A679)&gt;0,"Sí","No"))</f>
        <v/>
      </c>
    </row>
    <row r="680">
      <c r="A680" s="17" t="n"/>
      <c r="B680" s="17" t="n"/>
      <c r="C680" s="18" t="n"/>
      <c r="D680" s="19" t="n"/>
      <c r="E680" s="17" t="n"/>
      <c r="F680" s="21">
        <f>IF(OR(B680="",C680=""),"",IFERROR(INT(ROUND(IFERROR(TIMEVALUE(IF(LEN(C680)-LEN(SUBSTITUTE(C680,":",""))=2,"","0:")&amp;C680)*86400,"")/VALUE(SUBSTITUTE(B680,"K","")),0)/60)&amp;":"&amp;TEXT(MOD(ROUND(IFERROR(TIMEVALUE(IF(LEN(C680)-LEN(SUBSTITUTE(C680,":",""))=2,"","0:")&amp;C680)*86400,"")/VALUE(SUBSTITUTE(B680,"K","")),0),60),"00"),""))</f>
        <v/>
      </c>
      <c r="G680" s="21">
        <f>IF(A680="","",IF(COUNTIF(Atletas!$A$2:$A$302,A680)&gt;0,"Sí","No"))</f>
        <v/>
      </c>
    </row>
    <row r="681">
      <c r="A681" s="17" t="n"/>
      <c r="B681" s="17" t="n"/>
      <c r="C681" s="18" t="n"/>
      <c r="D681" s="19" t="n"/>
      <c r="E681" s="17" t="n"/>
      <c r="F681" s="21">
        <f>IF(OR(B681="",C681=""),"",IFERROR(INT(ROUND(IFERROR(TIMEVALUE(IF(LEN(C681)-LEN(SUBSTITUTE(C681,":",""))=2,"","0:")&amp;C681)*86400,"")/VALUE(SUBSTITUTE(B681,"K","")),0)/60)&amp;":"&amp;TEXT(MOD(ROUND(IFERROR(TIMEVALUE(IF(LEN(C681)-LEN(SUBSTITUTE(C681,":",""))=2,"","0:")&amp;C681)*86400,"")/VALUE(SUBSTITUTE(B681,"K","")),0),60),"00"),""))</f>
        <v/>
      </c>
      <c r="G681" s="21">
        <f>IF(A681="","",IF(COUNTIF(Atletas!$A$2:$A$302,A681)&gt;0,"Sí","No"))</f>
        <v/>
      </c>
    </row>
    <row r="682">
      <c r="A682" s="17" t="n"/>
      <c r="B682" s="17" t="n"/>
      <c r="C682" s="18" t="n"/>
      <c r="D682" s="19" t="n"/>
      <c r="E682" s="17" t="n"/>
      <c r="F682" s="21">
        <f>IF(OR(B682="",C682=""),"",IFERROR(INT(ROUND(IFERROR(TIMEVALUE(IF(LEN(C682)-LEN(SUBSTITUTE(C682,":",""))=2,"","0:")&amp;C682)*86400,"")/VALUE(SUBSTITUTE(B682,"K","")),0)/60)&amp;":"&amp;TEXT(MOD(ROUND(IFERROR(TIMEVALUE(IF(LEN(C682)-LEN(SUBSTITUTE(C682,":",""))=2,"","0:")&amp;C682)*86400,"")/VALUE(SUBSTITUTE(B682,"K","")),0),60),"00"),""))</f>
        <v/>
      </c>
      <c r="G682" s="21">
        <f>IF(A682="","",IF(COUNTIF(Atletas!$A$2:$A$302,A682)&gt;0,"Sí","No"))</f>
        <v/>
      </c>
    </row>
    <row r="683">
      <c r="A683" s="17" t="n"/>
      <c r="B683" s="17" t="n"/>
      <c r="C683" s="18" t="n"/>
      <c r="D683" s="19" t="n"/>
      <c r="E683" s="17" t="n"/>
      <c r="F683" s="21">
        <f>IF(OR(B683="",C683=""),"",IFERROR(INT(ROUND(IFERROR(TIMEVALUE(IF(LEN(C683)-LEN(SUBSTITUTE(C683,":",""))=2,"","0:")&amp;C683)*86400,"")/VALUE(SUBSTITUTE(B683,"K","")),0)/60)&amp;":"&amp;TEXT(MOD(ROUND(IFERROR(TIMEVALUE(IF(LEN(C683)-LEN(SUBSTITUTE(C683,":",""))=2,"","0:")&amp;C683)*86400,"")/VALUE(SUBSTITUTE(B683,"K","")),0),60),"00"),""))</f>
        <v/>
      </c>
      <c r="G683" s="21">
        <f>IF(A683="","",IF(COUNTIF(Atletas!$A$2:$A$302,A683)&gt;0,"Sí","No"))</f>
        <v/>
      </c>
    </row>
    <row r="684">
      <c r="A684" s="17" t="n"/>
      <c r="B684" s="17" t="n"/>
      <c r="C684" s="18" t="n"/>
      <c r="D684" s="19" t="n"/>
      <c r="E684" s="17" t="n"/>
      <c r="F684" s="21">
        <f>IF(OR(B684="",C684=""),"",IFERROR(INT(ROUND(IFERROR(TIMEVALUE(IF(LEN(C684)-LEN(SUBSTITUTE(C684,":",""))=2,"","0:")&amp;C684)*86400,"")/VALUE(SUBSTITUTE(B684,"K","")),0)/60)&amp;":"&amp;TEXT(MOD(ROUND(IFERROR(TIMEVALUE(IF(LEN(C684)-LEN(SUBSTITUTE(C684,":",""))=2,"","0:")&amp;C684)*86400,"")/VALUE(SUBSTITUTE(B684,"K","")),0),60),"00"),""))</f>
        <v/>
      </c>
      <c r="G684" s="21">
        <f>IF(A684="","",IF(COUNTIF(Atletas!$A$2:$A$302,A684)&gt;0,"Sí","No"))</f>
        <v/>
      </c>
    </row>
    <row r="685">
      <c r="A685" s="17" t="n"/>
      <c r="B685" s="17" t="n"/>
      <c r="C685" s="18" t="n"/>
      <c r="D685" s="19" t="n"/>
      <c r="E685" s="17" t="n"/>
      <c r="F685" s="21">
        <f>IF(OR(B685="",C685=""),"",IFERROR(INT(ROUND(IFERROR(TIMEVALUE(IF(LEN(C685)-LEN(SUBSTITUTE(C685,":",""))=2,"","0:")&amp;C685)*86400,"")/VALUE(SUBSTITUTE(B685,"K","")),0)/60)&amp;":"&amp;TEXT(MOD(ROUND(IFERROR(TIMEVALUE(IF(LEN(C685)-LEN(SUBSTITUTE(C685,":",""))=2,"","0:")&amp;C685)*86400,"")/VALUE(SUBSTITUTE(B685,"K","")),0),60),"00"),""))</f>
        <v/>
      </c>
      <c r="G685" s="21">
        <f>IF(A685="","",IF(COUNTIF(Atletas!$A$2:$A$302,A685)&gt;0,"Sí","No"))</f>
        <v/>
      </c>
    </row>
    <row r="686">
      <c r="A686" s="17" t="n"/>
      <c r="B686" s="17" t="n"/>
      <c r="C686" s="18" t="n"/>
      <c r="D686" s="19" t="n"/>
      <c r="E686" s="17" t="n"/>
      <c r="F686" s="21">
        <f>IF(OR(B686="",C686=""),"",IFERROR(INT(ROUND(IFERROR(TIMEVALUE(IF(LEN(C686)-LEN(SUBSTITUTE(C686,":",""))=2,"","0:")&amp;C686)*86400,"")/VALUE(SUBSTITUTE(B686,"K","")),0)/60)&amp;":"&amp;TEXT(MOD(ROUND(IFERROR(TIMEVALUE(IF(LEN(C686)-LEN(SUBSTITUTE(C686,":",""))=2,"","0:")&amp;C686)*86400,"")/VALUE(SUBSTITUTE(B686,"K","")),0),60),"00"),""))</f>
        <v/>
      </c>
      <c r="G686" s="21">
        <f>IF(A686="","",IF(COUNTIF(Atletas!$A$2:$A$302,A686)&gt;0,"Sí","No"))</f>
        <v/>
      </c>
    </row>
    <row r="687">
      <c r="A687" s="17" t="n"/>
      <c r="B687" s="17" t="n"/>
      <c r="C687" s="18" t="n"/>
      <c r="D687" s="19" t="n"/>
      <c r="E687" s="17" t="n"/>
      <c r="F687" s="21">
        <f>IF(OR(B687="",C687=""),"",IFERROR(INT(ROUND(IFERROR(TIMEVALUE(IF(LEN(C687)-LEN(SUBSTITUTE(C687,":",""))=2,"","0:")&amp;C687)*86400,"")/VALUE(SUBSTITUTE(B687,"K","")),0)/60)&amp;":"&amp;TEXT(MOD(ROUND(IFERROR(TIMEVALUE(IF(LEN(C687)-LEN(SUBSTITUTE(C687,":",""))=2,"","0:")&amp;C687)*86400,"")/VALUE(SUBSTITUTE(B687,"K","")),0),60),"00"),""))</f>
        <v/>
      </c>
      <c r="G687" s="21">
        <f>IF(A687="","",IF(COUNTIF(Atletas!$A$2:$A$302,A687)&gt;0,"Sí","No"))</f>
        <v/>
      </c>
    </row>
    <row r="688">
      <c r="A688" s="17" t="n"/>
      <c r="B688" s="17" t="n"/>
      <c r="C688" s="18" t="n"/>
      <c r="D688" s="19" t="n"/>
      <c r="E688" s="17" t="n"/>
      <c r="F688" s="21">
        <f>IF(OR(B688="",C688=""),"",IFERROR(INT(ROUND(IFERROR(TIMEVALUE(IF(LEN(C688)-LEN(SUBSTITUTE(C688,":",""))=2,"","0:")&amp;C688)*86400,"")/VALUE(SUBSTITUTE(B688,"K","")),0)/60)&amp;":"&amp;TEXT(MOD(ROUND(IFERROR(TIMEVALUE(IF(LEN(C688)-LEN(SUBSTITUTE(C688,":",""))=2,"","0:")&amp;C688)*86400,"")/VALUE(SUBSTITUTE(B688,"K","")),0),60),"00"),""))</f>
        <v/>
      </c>
      <c r="G688" s="21">
        <f>IF(A688="","",IF(COUNTIF(Atletas!$A$2:$A$302,A688)&gt;0,"Sí","No"))</f>
        <v/>
      </c>
    </row>
    <row r="689">
      <c r="A689" s="17" t="n"/>
      <c r="B689" s="17" t="n"/>
      <c r="C689" s="18" t="n"/>
      <c r="D689" s="19" t="n"/>
      <c r="E689" s="17" t="n"/>
      <c r="F689" s="21">
        <f>IF(OR(B689="",C689=""),"",IFERROR(INT(ROUND(IFERROR(TIMEVALUE(IF(LEN(C689)-LEN(SUBSTITUTE(C689,":",""))=2,"","0:")&amp;C689)*86400,"")/VALUE(SUBSTITUTE(B689,"K","")),0)/60)&amp;":"&amp;TEXT(MOD(ROUND(IFERROR(TIMEVALUE(IF(LEN(C689)-LEN(SUBSTITUTE(C689,":",""))=2,"","0:")&amp;C689)*86400,"")/VALUE(SUBSTITUTE(B689,"K","")),0),60),"00"),""))</f>
        <v/>
      </c>
      <c r="G689" s="21">
        <f>IF(A689="","",IF(COUNTIF(Atletas!$A$2:$A$302,A689)&gt;0,"Sí","No"))</f>
        <v/>
      </c>
    </row>
    <row r="690">
      <c r="A690" s="17" t="n"/>
      <c r="B690" s="17" t="n"/>
      <c r="C690" s="18" t="n"/>
      <c r="D690" s="19" t="n"/>
      <c r="E690" s="17" t="n"/>
      <c r="F690" s="21">
        <f>IF(OR(B690="",C690=""),"",IFERROR(INT(ROUND(IFERROR(TIMEVALUE(IF(LEN(C690)-LEN(SUBSTITUTE(C690,":",""))=2,"","0:")&amp;C690)*86400,"")/VALUE(SUBSTITUTE(B690,"K","")),0)/60)&amp;":"&amp;TEXT(MOD(ROUND(IFERROR(TIMEVALUE(IF(LEN(C690)-LEN(SUBSTITUTE(C690,":",""))=2,"","0:")&amp;C690)*86400,"")/VALUE(SUBSTITUTE(B690,"K","")),0),60),"00"),""))</f>
        <v/>
      </c>
      <c r="G690" s="21">
        <f>IF(A690="","",IF(COUNTIF(Atletas!$A$2:$A$302,A690)&gt;0,"Sí","No"))</f>
        <v/>
      </c>
    </row>
    <row r="691">
      <c r="A691" s="17" t="n"/>
      <c r="B691" s="17" t="n"/>
      <c r="C691" s="18" t="n"/>
      <c r="D691" s="19" t="n"/>
      <c r="E691" s="17" t="n"/>
      <c r="F691" s="21">
        <f>IF(OR(B691="",C691=""),"",IFERROR(INT(ROUND(IFERROR(TIMEVALUE(IF(LEN(C691)-LEN(SUBSTITUTE(C691,":",""))=2,"","0:")&amp;C691)*86400,"")/VALUE(SUBSTITUTE(B691,"K","")),0)/60)&amp;":"&amp;TEXT(MOD(ROUND(IFERROR(TIMEVALUE(IF(LEN(C691)-LEN(SUBSTITUTE(C691,":",""))=2,"","0:")&amp;C691)*86400,"")/VALUE(SUBSTITUTE(B691,"K","")),0),60),"00"),""))</f>
        <v/>
      </c>
      <c r="G691" s="21">
        <f>IF(A691="","",IF(COUNTIF(Atletas!$A$2:$A$302,A691)&gt;0,"Sí","No"))</f>
        <v/>
      </c>
    </row>
    <row r="692">
      <c r="A692" s="17" t="n"/>
      <c r="B692" s="17" t="n"/>
      <c r="C692" s="18" t="n"/>
      <c r="D692" s="19" t="n"/>
      <c r="E692" s="17" t="n"/>
      <c r="F692" s="21">
        <f>IF(OR(B692="",C692=""),"",IFERROR(INT(ROUND(IFERROR(TIMEVALUE(IF(LEN(C692)-LEN(SUBSTITUTE(C692,":",""))=2,"","0:")&amp;C692)*86400,"")/VALUE(SUBSTITUTE(B692,"K","")),0)/60)&amp;":"&amp;TEXT(MOD(ROUND(IFERROR(TIMEVALUE(IF(LEN(C692)-LEN(SUBSTITUTE(C692,":",""))=2,"","0:")&amp;C692)*86400,"")/VALUE(SUBSTITUTE(B692,"K","")),0),60),"00"),""))</f>
        <v/>
      </c>
      <c r="G692" s="21">
        <f>IF(A692="","",IF(COUNTIF(Atletas!$A$2:$A$302,A692)&gt;0,"Sí","No"))</f>
        <v/>
      </c>
    </row>
    <row r="693">
      <c r="A693" s="17" t="n"/>
      <c r="B693" s="17" t="n"/>
      <c r="C693" s="18" t="n"/>
      <c r="D693" s="19" t="n"/>
      <c r="E693" s="17" t="n"/>
      <c r="F693" s="21">
        <f>IF(OR(B693="",C693=""),"",IFERROR(INT(ROUND(IFERROR(TIMEVALUE(IF(LEN(C693)-LEN(SUBSTITUTE(C693,":",""))=2,"","0:")&amp;C693)*86400,"")/VALUE(SUBSTITUTE(B693,"K","")),0)/60)&amp;":"&amp;TEXT(MOD(ROUND(IFERROR(TIMEVALUE(IF(LEN(C693)-LEN(SUBSTITUTE(C693,":",""))=2,"","0:")&amp;C693)*86400,"")/VALUE(SUBSTITUTE(B693,"K","")),0),60),"00"),""))</f>
        <v/>
      </c>
      <c r="G693" s="21">
        <f>IF(A693="","",IF(COUNTIF(Atletas!$A$2:$A$302,A693)&gt;0,"Sí","No"))</f>
        <v/>
      </c>
    </row>
    <row r="694">
      <c r="A694" s="17" t="n"/>
      <c r="B694" s="17" t="n"/>
      <c r="C694" s="18" t="n"/>
      <c r="D694" s="19" t="n"/>
      <c r="E694" s="17" t="n"/>
      <c r="F694" s="21">
        <f>IF(OR(B694="",C694=""),"",IFERROR(INT(ROUND(IFERROR(TIMEVALUE(IF(LEN(C694)-LEN(SUBSTITUTE(C694,":",""))=2,"","0:")&amp;C694)*86400,"")/VALUE(SUBSTITUTE(B694,"K","")),0)/60)&amp;":"&amp;TEXT(MOD(ROUND(IFERROR(TIMEVALUE(IF(LEN(C694)-LEN(SUBSTITUTE(C694,":",""))=2,"","0:")&amp;C694)*86400,"")/VALUE(SUBSTITUTE(B694,"K","")),0),60),"00"),""))</f>
        <v/>
      </c>
      <c r="G694" s="21">
        <f>IF(A694="","",IF(COUNTIF(Atletas!$A$2:$A$302,A694)&gt;0,"Sí","No"))</f>
        <v/>
      </c>
    </row>
    <row r="695">
      <c r="A695" s="17" t="n"/>
      <c r="B695" s="17" t="n"/>
      <c r="C695" s="18" t="n"/>
      <c r="D695" s="19" t="n"/>
      <c r="E695" s="17" t="n"/>
      <c r="F695" s="21">
        <f>IF(OR(B695="",C695=""),"",IFERROR(INT(ROUND(IFERROR(TIMEVALUE(IF(LEN(C695)-LEN(SUBSTITUTE(C695,":",""))=2,"","0:")&amp;C695)*86400,"")/VALUE(SUBSTITUTE(B695,"K","")),0)/60)&amp;":"&amp;TEXT(MOD(ROUND(IFERROR(TIMEVALUE(IF(LEN(C695)-LEN(SUBSTITUTE(C695,":",""))=2,"","0:")&amp;C695)*86400,"")/VALUE(SUBSTITUTE(B695,"K","")),0),60),"00"),""))</f>
        <v/>
      </c>
      <c r="G695" s="21">
        <f>IF(A695="","",IF(COUNTIF(Atletas!$A$2:$A$302,A695)&gt;0,"Sí","No"))</f>
        <v/>
      </c>
    </row>
    <row r="696">
      <c r="A696" s="17" t="n"/>
      <c r="B696" s="17" t="n"/>
      <c r="C696" s="18" t="n"/>
      <c r="D696" s="19" t="n"/>
      <c r="E696" s="17" t="n"/>
      <c r="F696" s="21">
        <f>IF(OR(B696="",C696=""),"",IFERROR(INT(ROUND(IFERROR(TIMEVALUE(IF(LEN(C696)-LEN(SUBSTITUTE(C696,":",""))=2,"","0:")&amp;C696)*86400,"")/VALUE(SUBSTITUTE(B696,"K","")),0)/60)&amp;":"&amp;TEXT(MOD(ROUND(IFERROR(TIMEVALUE(IF(LEN(C696)-LEN(SUBSTITUTE(C696,":",""))=2,"","0:")&amp;C696)*86400,"")/VALUE(SUBSTITUTE(B696,"K","")),0),60),"00"),""))</f>
        <v/>
      </c>
      <c r="G696" s="21">
        <f>IF(A696="","",IF(COUNTIF(Atletas!$A$2:$A$302,A696)&gt;0,"Sí","No"))</f>
        <v/>
      </c>
    </row>
    <row r="697">
      <c r="A697" s="17" t="n"/>
      <c r="B697" s="17" t="n"/>
      <c r="C697" s="18" t="n"/>
      <c r="D697" s="19" t="n"/>
      <c r="E697" s="17" t="n"/>
      <c r="F697" s="21">
        <f>IF(OR(B697="",C697=""),"",IFERROR(INT(ROUND(IFERROR(TIMEVALUE(IF(LEN(C697)-LEN(SUBSTITUTE(C697,":",""))=2,"","0:")&amp;C697)*86400,"")/VALUE(SUBSTITUTE(B697,"K","")),0)/60)&amp;":"&amp;TEXT(MOD(ROUND(IFERROR(TIMEVALUE(IF(LEN(C697)-LEN(SUBSTITUTE(C697,":",""))=2,"","0:")&amp;C697)*86400,"")/VALUE(SUBSTITUTE(B697,"K","")),0),60),"00"),""))</f>
        <v/>
      </c>
      <c r="G697" s="21">
        <f>IF(A697="","",IF(COUNTIF(Atletas!$A$2:$A$302,A697)&gt;0,"Sí","No"))</f>
        <v/>
      </c>
    </row>
    <row r="698">
      <c r="A698" s="17" t="n"/>
      <c r="B698" s="17" t="n"/>
      <c r="C698" s="18" t="n"/>
      <c r="D698" s="19" t="n"/>
      <c r="E698" s="17" t="n"/>
      <c r="F698" s="21">
        <f>IF(OR(B698="",C698=""),"",IFERROR(INT(ROUND(IFERROR(TIMEVALUE(IF(LEN(C698)-LEN(SUBSTITUTE(C698,":",""))=2,"","0:")&amp;C698)*86400,"")/VALUE(SUBSTITUTE(B698,"K","")),0)/60)&amp;":"&amp;TEXT(MOD(ROUND(IFERROR(TIMEVALUE(IF(LEN(C698)-LEN(SUBSTITUTE(C698,":",""))=2,"","0:")&amp;C698)*86400,"")/VALUE(SUBSTITUTE(B698,"K","")),0),60),"00"),""))</f>
        <v/>
      </c>
      <c r="G698" s="21">
        <f>IF(A698="","",IF(COUNTIF(Atletas!$A$2:$A$302,A698)&gt;0,"Sí","No"))</f>
        <v/>
      </c>
    </row>
    <row r="699">
      <c r="A699" s="17" t="n"/>
      <c r="B699" s="17" t="n"/>
      <c r="C699" s="18" t="n"/>
      <c r="D699" s="19" t="n"/>
      <c r="E699" s="17" t="n"/>
      <c r="F699" s="21">
        <f>IF(OR(B699="",C699=""),"",IFERROR(INT(ROUND(IFERROR(TIMEVALUE(IF(LEN(C699)-LEN(SUBSTITUTE(C699,":",""))=2,"","0:")&amp;C699)*86400,"")/VALUE(SUBSTITUTE(B699,"K","")),0)/60)&amp;":"&amp;TEXT(MOD(ROUND(IFERROR(TIMEVALUE(IF(LEN(C699)-LEN(SUBSTITUTE(C699,":",""))=2,"","0:")&amp;C699)*86400,"")/VALUE(SUBSTITUTE(B699,"K","")),0),60),"00"),""))</f>
        <v/>
      </c>
      <c r="G699" s="21">
        <f>IF(A699="","",IF(COUNTIF(Atletas!$A$2:$A$302,A699)&gt;0,"Sí","No"))</f>
        <v/>
      </c>
    </row>
    <row r="700">
      <c r="A700" s="17" t="n"/>
      <c r="B700" s="17" t="n"/>
      <c r="C700" s="18" t="n"/>
      <c r="D700" s="19" t="n"/>
      <c r="E700" s="17" t="n"/>
      <c r="F700" s="21">
        <f>IF(OR(B700="",C700=""),"",IFERROR(INT(ROUND(IFERROR(TIMEVALUE(IF(LEN(C700)-LEN(SUBSTITUTE(C700,":",""))=2,"","0:")&amp;C700)*86400,"")/VALUE(SUBSTITUTE(B700,"K","")),0)/60)&amp;":"&amp;TEXT(MOD(ROUND(IFERROR(TIMEVALUE(IF(LEN(C700)-LEN(SUBSTITUTE(C700,":",""))=2,"","0:")&amp;C700)*86400,"")/VALUE(SUBSTITUTE(B700,"K","")),0),60),"00"),""))</f>
        <v/>
      </c>
      <c r="G700" s="21">
        <f>IF(A700="","",IF(COUNTIF(Atletas!$A$2:$A$302,A700)&gt;0,"Sí","No"))</f>
        <v/>
      </c>
    </row>
    <row r="701">
      <c r="A701" s="17" t="n"/>
      <c r="B701" s="17" t="n"/>
      <c r="C701" s="18" t="n"/>
      <c r="D701" s="19" t="n"/>
      <c r="E701" s="17" t="n"/>
      <c r="F701" s="21">
        <f>IF(OR(B701="",C701=""),"",IFERROR(INT(ROUND(IFERROR(TIMEVALUE(IF(LEN(C701)-LEN(SUBSTITUTE(C701,":",""))=2,"","0:")&amp;C701)*86400,"")/VALUE(SUBSTITUTE(B701,"K","")),0)/60)&amp;":"&amp;TEXT(MOD(ROUND(IFERROR(TIMEVALUE(IF(LEN(C701)-LEN(SUBSTITUTE(C701,":",""))=2,"","0:")&amp;C701)*86400,"")/VALUE(SUBSTITUTE(B701,"K","")),0),60),"00"),""))</f>
        <v/>
      </c>
      <c r="G701" s="21">
        <f>IF(A701="","",IF(COUNTIF(Atletas!$A$2:$A$302,A701)&gt;0,"Sí","No"))</f>
        <v/>
      </c>
    </row>
    <row r="702">
      <c r="A702" s="17" t="n"/>
      <c r="B702" s="17" t="n"/>
      <c r="C702" s="18" t="n"/>
      <c r="D702" s="19" t="n"/>
      <c r="E702" s="17" t="n"/>
      <c r="F702" s="21">
        <f>IF(OR(B702="",C702=""),"",IFERROR(INT(ROUND(IFERROR(TIMEVALUE(IF(LEN(C702)-LEN(SUBSTITUTE(C702,":",""))=2,"","0:")&amp;C702)*86400,"")/VALUE(SUBSTITUTE(B702,"K","")),0)/60)&amp;":"&amp;TEXT(MOD(ROUND(IFERROR(TIMEVALUE(IF(LEN(C702)-LEN(SUBSTITUTE(C702,":",""))=2,"","0:")&amp;C702)*86400,"")/VALUE(SUBSTITUTE(B702,"K","")),0),60),"00"),""))</f>
        <v/>
      </c>
      <c r="G702" s="21">
        <f>IF(A702="","",IF(COUNTIF(Atletas!$A$2:$A$302,A702)&gt;0,"Sí","No"))</f>
        <v/>
      </c>
    </row>
    <row r="703">
      <c r="A703" s="17" t="n"/>
      <c r="B703" s="17" t="n"/>
      <c r="C703" s="18" t="n"/>
      <c r="D703" s="19" t="n"/>
      <c r="E703" s="17" t="n"/>
      <c r="F703" s="21">
        <f>IF(OR(B703="",C703=""),"",IFERROR(INT(ROUND(IFERROR(TIMEVALUE(IF(LEN(C703)-LEN(SUBSTITUTE(C703,":",""))=2,"","0:")&amp;C703)*86400,"")/VALUE(SUBSTITUTE(B703,"K","")),0)/60)&amp;":"&amp;TEXT(MOD(ROUND(IFERROR(TIMEVALUE(IF(LEN(C703)-LEN(SUBSTITUTE(C703,":",""))=2,"","0:")&amp;C703)*86400,"")/VALUE(SUBSTITUTE(B703,"K","")),0),60),"00"),""))</f>
        <v/>
      </c>
      <c r="G703" s="21">
        <f>IF(A703="","",IF(COUNTIF(Atletas!$A$2:$A$302,A703)&gt;0,"Sí","No"))</f>
        <v/>
      </c>
    </row>
    <row r="704">
      <c r="A704" s="17" t="n"/>
      <c r="B704" s="17" t="n"/>
      <c r="C704" s="18" t="n"/>
      <c r="D704" s="19" t="n"/>
      <c r="E704" s="17" t="n"/>
      <c r="F704" s="21">
        <f>IF(OR(B704="",C704=""),"",IFERROR(INT(ROUND(IFERROR(TIMEVALUE(IF(LEN(C704)-LEN(SUBSTITUTE(C704,":",""))=2,"","0:")&amp;C704)*86400,"")/VALUE(SUBSTITUTE(B704,"K","")),0)/60)&amp;":"&amp;TEXT(MOD(ROUND(IFERROR(TIMEVALUE(IF(LEN(C704)-LEN(SUBSTITUTE(C704,":",""))=2,"","0:")&amp;C704)*86400,"")/VALUE(SUBSTITUTE(B704,"K","")),0),60),"00"),""))</f>
        <v/>
      </c>
      <c r="G704" s="21">
        <f>IF(A704="","",IF(COUNTIF(Atletas!$A$2:$A$302,A704)&gt;0,"Sí","No"))</f>
        <v/>
      </c>
    </row>
    <row r="705">
      <c r="A705" s="17" t="n"/>
      <c r="B705" s="17" t="n"/>
      <c r="C705" s="18" t="n"/>
      <c r="D705" s="19" t="n"/>
      <c r="E705" s="17" t="n"/>
      <c r="F705" s="21">
        <f>IF(OR(B705="",C705=""),"",IFERROR(INT(ROUND(IFERROR(TIMEVALUE(IF(LEN(C705)-LEN(SUBSTITUTE(C705,":",""))=2,"","0:")&amp;C705)*86400,"")/VALUE(SUBSTITUTE(B705,"K","")),0)/60)&amp;":"&amp;TEXT(MOD(ROUND(IFERROR(TIMEVALUE(IF(LEN(C705)-LEN(SUBSTITUTE(C705,":",""))=2,"","0:")&amp;C705)*86400,"")/VALUE(SUBSTITUTE(B705,"K","")),0),60),"00"),""))</f>
        <v/>
      </c>
      <c r="G705" s="21">
        <f>IF(A705="","",IF(COUNTIF(Atletas!$A$2:$A$302,A705)&gt;0,"Sí","No"))</f>
        <v/>
      </c>
    </row>
    <row r="706">
      <c r="A706" s="17" t="n"/>
      <c r="B706" s="17" t="n"/>
      <c r="C706" s="18" t="n"/>
      <c r="D706" s="19" t="n"/>
      <c r="E706" s="17" t="n"/>
      <c r="F706" s="21">
        <f>IF(OR(B706="",C706=""),"",IFERROR(INT(ROUND(IFERROR(TIMEVALUE(IF(LEN(C706)-LEN(SUBSTITUTE(C706,":",""))=2,"","0:")&amp;C706)*86400,"")/VALUE(SUBSTITUTE(B706,"K","")),0)/60)&amp;":"&amp;TEXT(MOD(ROUND(IFERROR(TIMEVALUE(IF(LEN(C706)-LEN(SUBSTITUTE(C706,":",""))=2,"","0:")&amp;C706)*86400,"")/VALUE(SUBSTITUTE(B706,"K","")),0),60),"00"),""))</f>
        <v/>
      </c>
      <c r="G706" s="21">
        <f>IF(A706="","",IF(COUNTIF(Atletas!$A$2:$A$302,A706)&gt;0,"Sí","No"))</f>
        <v/>
      </c>
    </row>
    <row r="707">
      <c r="A707" s="17" t="n"/>
      <c r="B707" s="17" t="n"/>
      <c r="C707" s="18" t="n"/>
      <c r="D707" s="19" t="n"/>
      <c r="E707" s="17" t="n"/>
      <c r="F707" s="21">
        <f>IF(OR(B707="",C707=""),"",IFERROR(INT(ROUND(IFERROR(TIMEVALUE(IF(LEN(C707)-LEN(SUBSTITUTE(C707,":",""))=2,"","0:")&amp;C707)*86400,"")/VALUE(SUBSTITUTE(B707,"K","")),0)/60)&amp;":"&amp;TEXT(MOD(ROUND(IFERROR(TIMEVALUE(IF(LEN(C707)-LEN(SUBSTITUTE(C707,":",""))=2,"","0:")&amp;C707)*86400,"")/VALUE(SUBSTITUTE(B707,"K","")),0),60),"00"),""))</f>
        <v/>
      </c>
      <c r="G707" s="21">
        <f>IF(A707="","",IF(COUNTIF(Atletas!$A$2:$A$302,A707)&gt;0,"Sí","No"))</f>
        <v/>
      </c>
    </row>
    <row r="708">
      <c r="A708" s="17" t="n"/>
      <c r="B708" s="17" t="n"/>
      <c r="C708" s="18" t="n"/>
      <c r="D708" s="19" t="n"/>
      <c r="E708" s="17" t="n"/>
      <c r="F708" s="21">
        <f>IF(OR(B708="",C708=""),"",IFERROR(INT(ROUND(IFERROR(TIMEVALUE(IF(LEN(C708)-LEN(SUBSTITUTE(C708,":",""))=2,"","0:")&amp;C708)*86400,"")/VALUE(SUBSTITUTE(B708,"K","")),0)/60)&amp;":"&amp;TEXT(MOD(ROUND(IFERROR(TIMEVALUE(IF(LEN(C708)-LEN(SUBSTITUTE(C708,":",""))=2,"","0:")&amp;C708)*86400,"")/VALUE(SUBSTITUTE(B708,"K","")),0),60),"00"),""))</f>
        <v/>
      </c>
      <c r="G708" s="21">
        <f>IF(A708="","",IF(COUNTIF(Atletas!$A$2:$A$302,A708)&gt;0,"Sí","No"))</f>
        <v/>
      </c>
    </row>
    <row r="709">
      <c r="A709" s="17" t="n"/>
      <c r="B709" s="17" t="n"/>
      <c r="C709" s="18" t="n"/>
      <c r="D709" s="19" t="n"/>
      <c r="E709" s="17" t="n"/>
      <c r="F709" s="21">
        <f>IF(OR(B709="",C709=""),"",IFERROR(INT(ROUND(IFERROR(TIMEVALUE(IF(LEN(C709)-LEN(SUBSTITUTE(C709,":",""))=2,"","0:")&amp;C709)*86400,"")/VALUE(SUBSTITUTE(B709,"K","")),0)/60)&amp;":"&amp;TEXT(MOD(ROUND(IFERROR(TIMEVALUE(IF(LEN(C709)-LEN(SUBSTITUTE(C709,":",""))=2,"","0:")&amp;C709)*86400,"")/VALUE(SUBSTITUTE(B709,"K","")),0),60),"00"),""))</f>
        <v/>
      </c>
      <c r="G709" s="21">
        <f>IF(A709="","",IF(COUNTIF(Atletas!$A$2:$A$302,A709)&gt;0,"Sí","No"))</f>
        <v/>
      </c>
    </row>
    <row r="710">
      <c r="A710" s="17" t="n"/>
      <c r="B710" s="17" t="n"/>
      <c r="C710" s="18" t="n"/>
      <c r="D710" s="19" t="n"/>
      <c r="E710" s="17" t="n"/>
      <c r="F710" s="21">
        <f>IF(OR(B710="",C710=""),"",IFERROR(INT(ROUND(IFERROR(TIMEVALUE(IF(LEN(C710)-LEN(SUBSTITUTE(C710,":",""))=2,"","0:")&amp;C710)*86400,"")/VALUE(SUBSTITUTE(B710,"K","")),0)/60)&amp;":"&amp;TEXT(MOD(ROUND(IFERROR(TIMEVALUE(IF(LEN(C710)-LEN(SUBSTITUTE(C710,":",""))=2,"","0:")&amp;C710)*86400,"")/VALUE(SUBSTITUTE(B710,"K","")),0),60),"00"),""))</f>
        <v/>
      </c>
      <c r="G710" s="21">
        <f>IF(A710="","",IF(COUNTIF(Atletas!$A$2:$A$302,A710)&gt;0,"Sí","No"))</f>
        <v/>
      </c>
    </row>
    <row r="711">
      <c r="A711" s="17" t="n"/>
      <c r="B711" s="17" t="n"/>
      <c r="C711" s="18" t="n"/>
      <c r="D711" s="19" t="n"/>
      <c r="E711" s="17" t="n"/>
      <c r="F711" s="21">
        <f>IF(OR(B711="",C711=""),"",IFERROR(INT(ROUND(IFERROR(TIMEVALUE(IF(LEN(C711)-LEN(SUBSTITUTE(C711,":",""))=2,"","0:")&amp;C711)*86400,"")/VALUE(SUBSTITUTE(B711,"K","")),0)/60)&amp;":"&amp;TEXT(MOD(ROUND(IFERROR(TIMEVALUE(IF(LEN(C711)-LEN(SUBSTITUTE(C711,":",""))=2,"","0:")&amp;C711)*86400,"")/VALUE(SUBSTITUTE(B711,"K","")),0),60),"00"),""))</f>
        <v/>
      </c>
      <c r="G711" s="21">
        <f>IF(A711="","",IF(COUNTIF(Atletas!$A$2:$A$302,A711)&gt;0,"Sí","No"))</f>
        <v/>
      </c>
    </row>
    <row r="712">
      <c r="A712" s="17" t="n"/>
      <c r="B712" s="17" t="n"/>
      <c r="C712" s="18" t="n"/>
      <c r="D712" s="19" t="n"/>
      <c r="E712" s="17" t="n"/>
      <c r="F712" s="21">
        <f>IF(OR(B712="",C712=""),"",IFERROR(INT(ROUND(IFERROR(TIMEVALUE(IF(LEN(C712)-LEN(SUBSTITUTE(C712,":",""))=2,"","0:")&amp;C712)*86400,"")/VALUE(SUBSTITUTE(B712,"K","")),0)/60)&amp;":"&amp;TEXT(MOD(ROUND(IFERROR(TIMEVALUE(IF(LEN(C712)-LEN(SUBSTITUTE(C712,":",""))=2,"","0:")&amp;C712)*86400,"")/VALUE(SUBSTITUTE(B712,"K","")),0),60),"00"),""))</f>
        <v/>
      </c>
      <c r="G712" s="21">
        <f>IF(A712="","",IF(COUNTIF(Atletas!$A$2:$A$302,A712)&gt;0,"Sí","No"))</f>
        <v/>
      </c>
    </row>
    <row r="713">
      <c r="A713" s="17" t="n"/>
      <c r="B713" s="17" t="n"/>
      <c r="C713" s="18" t="n"/>
      <c r="D713" s="19" t="n"/>
      <c r="E713" s="17" t="n"/>
      <c r="F713" s="21">
        <f>IF(OR(B713="",C713=""),"",IFERROR(INT(ROUND(IFERROR(TIMEVALUE(IF(LEN(C713)-LEN(SUBSTITUTE(C713,":",""))=2,"","0:")&amp;C713)*86400,"")/VALUE(SUBSTITUTE(B713,"K","")),0)/60)&amp;":"&amp;TEXT(MOD(ROUND(IFERROR(TIMEVALUE(IF(LEN(C713)-LEN(SUBSTITUTE(C713,":",""))=2,"","0:")&amp;C713)*86400,"")/VALUE(SUBSTITUTE(B713,"K","")),0),60),"00"),""))</f>
        <v/>
      </c>
      <c r="G713" s="21">
        <f>IF(A713="","",IF(COUNTIF(Atletas!$A$2:$A$302,A713)&gt;0,"Sí","No"))</f>
        <v/>
      </c>
    </row>
    <row r="714">
      <c r="A714" s="17" t="n"/>
      <c r="B714" s="17" t="n"/>
      <c r="C714" s="18" t="n"/>
      <c r="D714" s="19" t="n"/>
      <c r="E714" s="17" t="n"/>
      <c r="F714" s="21">
        <f>IF(OR(B714="",C714=""),"",IFERROR(INT(ROUND(IFERROR(TIMEVALUE(IF(LEN(C714)-LEN(SUBSTITUTE(C714,":",""))=2,"","0:")&amp;C714)*86400,"")/VALUE(SUBSTITUTE(B714,"K","")),0)/60)&amp;":"&amp;TEXT(MOD(ROUND(IFERROR(TIMEVALUE(IF(LEN(C714)-LEN(SUBSTITUTE(C714,":",""))=2,"","0:")&amp;C714)*86400,"")/VALUE(SUBSTITUTE(B714,"K","")),0),60),"00"),""))</f>
        <v/>
      </c>
      <c r="G714" s="21">
        <f>IF(A714="","",IF(COUNTIF(Atletas!$A$2:$A$302,A714)&gt;0,"Sí","No"))</f>
        <v/>
      </c>
    </row>
    <row r="715">
      <c r="A715" s="17" t="n"/>
      <c r="B715" s="17" t="n"/>
      <c r="C715" s="18" t="n"/>
      <c r="D715" s="19" t="n"/>
      <c r="E715" s="17" t="n"/>
      <c r="F715" s="21">
        <f>IF(OR(B715="",C715=""),"",IFERROR(INT(ROUND(IFERROR(TIMEVALUE(IF(LEN(C715)-LEN(SUBSTITUTE(C715,":",""))=2,"","0:")&amp;C715)*86400,"")/VALUE(SUBSTITUTE(B715,"K","")),0)/60)&amp;":"&amp;TEXT(MOD(ROUND(IFERROR(TIMEVALUE(IF(LEN(C715)-LEN(SUBSTITUTE(C715,":",""))=2,"","0:")&amp;C715)*86400,"")/VALUE(SUBSTITUTE(B715,"K","")),0),60),"00"),""))</f>
        <v/>
      </c>
      <c r="G715" s="21">
        <f>IF(A715="","",IF(COUNTIF(Atletas!$A$2:$A$302,A715)&gt;0,"Sí","No"))</f>
        <v/>
      </c>
    </row>
    <row r="716">
      <c r="A716" s="17" t="n"/>
      <c r="B716" s="17" t="n"/>
      <c r="C716" s="18" t="n"/>
      <c r="D716" s="19" t="n"/>
      <c r="E716" s="17" t="n"/>
      <c r="F716" s="21">
        <f>IF(OR(B716="",C716=""),"",IFERROR(INT(ROUND(IFERROR(TIMEVALUE(IF(LEN(C716)-LEN(SUBSTITUTE(C716,":",""))=2,"","0:")&amp;C716)*86400,"")/VALUE(SUBSTITUTE(B716,"K","")),0)/60)&amp;":"&amp;TEXT(MOD(ROUND(IFERROR(TIMEVALUE(IF(LEN(C716)-LEN(SUBSTITUTE(C716,":",""))=2,"","0:")&amp;C716)*86400,"")/VALUE(SUBSTITUTE(B716,"K","")),0),60),"00"),""))</f>
        <v/>
      </c>
      <c r="G716" s="21">
        <f>IF(A716="","",IF(COUNTIF(Atletas!$A$2:$A$302,A716)&gt;0,"Sí","No"))</f>
        <v/>
      </c>
    </row>
    <row r="717">
      <c r="A717" s="17" t="n"/>
      <c r="B717" s="17" t="n"/>
      <c r="C717" s="18" t="n"/>
      <c r="D717" s="19" t="n"/>
      <c r="E717" s="17" t="n"/>
      <c r="F717" s="21">
        <f>IF(OR(B717="",C717=""),"",IFERROR(INT(ROUND(IFERROR(TIMEVALUE(IF(LEN(C717)-LEN(SUBSTITUTE(C717,":",""))=2,"","0:")&amp;C717)*86400,"")/VALUE(SUBSTITUTE(B717,"K","")),0)/60)&amp;":"&amp;TEXT(MOD(ROUND(IFERROR(TIMEVALUE(IF(LEN(C717)-LEN(SUBSTITUTE(C717,":",""))=2,"","0:")&amp;C717)*86400,"")/VALUE(SUBSTITUTE(B717,"K","")),0),60),"00"),""))</f>
        <v/>
      </c>
      <c r="G717" s="21">
        <f>IF(A717="","",IF(COUNTIF(Atletas!$A$2:$A$302,A717)&gt;0,"Sí","No"))</f>
        <v/>
      </c>
    </row>
    <row r="718">
      <c r="A718" s="17" t="n"/>
      <c r="B718" s="17" t="n"/>
      <c r="C718" s="18" t="n"/>
      <c r="D718" s="19" t="n"/>
      <c r="E718" s="17" t="n"/>
      <c r="F718" s="21">
        <f>IF(OR(B718="",C718=""),"",IFERROR(INT(ROUND(IFERROR(TIMEVALUE(IF(LEN(C718)-LEN(SUBSTITUTE(C718,":",""))=2,"","0:")&amp;C718)*86400,"")/VALUE(SUBSTITUTE(B718,"K","")),0)/60)&amp;":"&amp;TEXT(MOD(ROUND(IFERROR(TIMEVALUE(IF(LEN(C718)-LEN(SUBSTITUTE(C718,":",""))=2,"","0:")&amp;C718)*86400,"")/VALUE(SUBSTITUTE(B718,"K","")),0),60),"00"),""))</f>
        <v/>
      </c>
      <c r="G718" s="21">
        <f>IF(A718="","",IF(COUNTIF(Atletas!$A$2:$A$302,A718)&gt;0,"Sí","No"))</f>
        <v/>
      </c>
    </row>
    <row r="719">
      <c r="A719" s="17" t="n"/>
      <c r="B719" s="17" t="n"/>
      <c r="C719" s="18" t="n"/>
      <c r="D719" s="19" t="n"/>
      <c r="E719" s="17" t="n"/>
      <c r="F719" s="21">
        <f>IF(OR(B719="",C719=""),"",IFERROR(INT(ROUND(IFERROR(TIMEVALUE(IF(LEN(C719)-LEN(SUBSTITUTE(C719,":",""))=2,"","0:")&amp;C719)*86400,"")/VALUE(SUBSTITUTE(B719,"K","")),0)/60)&amp;":"&amp;TEXT(MOD(ROUND(IFERROR(TIMEVALUE(IF(LEN(C719)-LEN(SUBSTITUTE(C719,":",""))=2,"","0:")&amp;C719)*86400,"")/VALUE(SUBSTITUTE(B719,"K","")),0),60),"00"),""))</f>
        <v/>
      </c>
      <c r="G719" s="21">
        <f>IF(A719="","",IF(COUNTIF(Atletas!$A$2:$A$302,A719)&gt;0,"Sí","No"))</f>
        <v/>
      </c>
    </row>
    <row r="720">
      <c r="A720" s="17" t="n"/>
      <c r="B720" s="17" t="n"/>
      <c r="C720" s="18" t="n"/>
      <c r="D720" s="19" t="n"/>
      <c r="E720" s="17" t="n"/>
      <c r="F720" s="21">
        <f>IF(OR(B720="",C720=""),"",IFERROR(INT(ROUND(IFERROR(TIMEVALUE(IF(LEN(C720)-LEN(SUBSTITUTE(C720,":",""))=2,"","0:")&amp;C720)*86400,"")/VALUE(SUBSTITUTE(B720,"K","")),0)/60)&amp;":"&amp;TEXT(MOD(ROUND(IFERROR(TIMEVALUE(IF(LEN(C720)-LEN(SUBSTITUTE(C720,":",""))=2,"","0:")&amp;C720)*86400,"")/VALUE(SUBSTITUTE(B720,"K","")),0),60),"00"),""))</f>
        <v/>
      </c>
      <c r="G720" s="21">
        <f>IF(A720="","",IF(COUNTIF(Atletas!$A$2:$A$302,A720)&gt;0,"Sí","No"))</f>
        <v/>
      </c>
    </row>
    <row r="721">
      <c r="A721" s="17" t="n"/>
      <c r="B721" s="17" t="n"/>
      <c r="C721" s="18" t="n"/>
      <c r="D721" s="19" t="n"/>
      <c r="E721" s="17" t="n"/>
      <c r="F721" s="21">
        <f>IF(OR(B721="",C721=""),"",IFERROR(INT(ROUND(IFERROR(TIMEVALUE(IF(LEN(C721)-LEN(SUBSTITUTE(C721,":",""))=2,"","0:")&amp;C721)*86400,"")/VALUE(SUBSTITUTE(B721,"K","")),0)/60)&amp;":"&amp;TEXT(MOD(ROUND(IFERROR(TIMEVALUE(IF(LEN(C721)-LEN(SUBSTITUTE(C721,":",""))=2,"","0:")&amp;C721)*86400,"")/VALUE(SUBSTITUTE(B721,"K","")),0),60),"00"),""))</f>
        <v/>
      </c>
      <c r="G721" s="21">
        <f>IF(A721="","",IF(COUNTIF(Atletas!$A$2:$A$302,A721)&gt;0,"Sí","No"))</f>
        <v/>
      </c>
    </row>
    <row r="722">
      <c r="A722" s="17" t="n"/>
      <c r="B722" s="17" t="n"/>
      <c r="C722" s="18" t="n"/>
      <c r="D722" s="19" t="n"/>
      <c r="E722" s="17" t="n"/>
      <c r="F722" s="21">
        <f>IF(OR(B722="",C722=""),"",IFERROR(INT(ROUND(IFERROR(TIMEVALUE(IF(LEN(C722)-LEN(SUBSTITUTE(C722,":",""))=2,"","0:")&amp;C722)*86400,"")/VALUE(SUBSTITUTE(B722,"K","")),0)/60)&amp;":"&amp;TEXT(MOD(ROUND(IFERROR(TIMEVALUE(IF(LEN(C722)-LEN(SUBSTITUTE(C722,":",""))=2,"","0:")&amp;C722)*86400,"")/VALUE(SUBSTITUTE(B722,"K","")),0),60),"00"),""))</f>
        <v/>
      </c>
      <c r="G722" s="21">
        <f>IF(A722="","",IF(COUNTIF(Atletas!$A$2:$A$302,A722)&gt;0,"Sí","No"))</f>
        <v/>
      </c>
    </row>
    <row r="723">
      <c r="A723" s="17" t="n"/>
      <c r="B723" s="17" t="n"/>
      <c r="C723" s="18" t="n"/>
      <c r="D723" s="19" t="n"/>
      <c r="E723" s="17" t="n"/>
      <c r="F723" s="21">
        <f>IF(OR(B723="",C723=""),"",IFERROR(INT(ROUND(IFERROR(TIMEVALUE(IF(LEN(C723)-LEN(SUBSTITUTE(C723,":",""))=2,"","0:")&amp;C723)*86400,"")/VALUE(SUBSTITUTE(B723,"K","")),0)/60)&amp;":"&amp;TEXT(MOD(ROUND(IFERROR(TIMEVALUE(IF(LEN(C723)-LEN(SUBSTITUTE(C723,":",""))=2,"","0:")&amp;C723)*86400,"")/VALUE(SUBSTITUTE(B723,"K","")),0),60),"00"),""))</f>
        <v/>
      </c>
      <c r="G723" s="21">
        <f>IF(A723="","",IF(COUNTIF(Atletas!$A$2:$A$302,A723)&gt;0,"Sí","No"))</f>
        <v/>
      </c>
    </row>
    <row r="724">
      <c r="A724" s="17" t="n"/>
      <c r="B724" s="17" t="n"/>
      <c r="C724" s="18" t="n"/>
      <c r="D724" s="19" t="n"/>
      <c r="E724" s="17" t="n"/>
      <c r="F724" s="21">
        <f>IF(OR(B724="",C724=""),"",IFERROR(INT(ROUND(IFERROR(TIMEVALUE(IF(LEN(C724)-LEN(SUBSTITUTE(C724,":",""))=2,"","0:")&amp;C724)*86400,"")/VALUE(SUBSTITUTE(B724,"K","")),0)/60)&amp;":"&amp;TEXT(MOD(ROUND(IFERROR(TIMEVALUE(IF(LEN(C724)-LEN(SUBSTITUTE(C724,":",""))=2,"","0:")&amp;C724)*86400,"")/VALUE(SUBSTITUTE(B724,"K","")),0),60),"00"),""))</f>
        <v/>
      </c>
      <c r="G724" s="21">
        <f>IF(A724="","",IF(COUNTIF(Atletas!$A$2:$A$302,A724)&gt;0,"Sí","No"))</f>
        <v/>
      </c>
    </row>
    <row r="725">
      <c r="A725" s="17" t="n"/>
      <c r="B725" s="17" t="n"/>
      <c r="C725" s="18" t="n"/>
      <c r="D725" s="19" t="n"/>
      <c r="E725" s="17" t="n"/>
      <c r="F725" s="21">
        <f>IF(OR(B725="",C725=""),"",IFERROR(INT(ROUND(IFERROR(TIMEVALUE(IF(LEN(C725)-LEN(SUBSTITUTE(C725,":",""))=2,"","0:")&amp;C725)*86400,"")/VALUE(SUBSTITUTE(B725,"K","")),0)/60)&amp;":"&amp;TEXT(MOD(ROUND(IFERROR(TIMEVALUE(IF(LEN(C725)-LEN(SUBSTITUTE(C725,":",""))=2,"","0:")&amp;C725)*86400,"")/VALUE(SUBSTITUTE(B725,"K","")),0),60),"00"),""))</f>
        <v/>
      </c>
      <c r="G725" s="21">
        <f>IF(A725="","",IF(COUNTIF(Atletas!$A$2:$A$302,A725)&gt;0,"Sí","No"))</f>
        <v/>
      </c>
    </row>
    <row r="726">
      <c r="A726" s="17" t="n"/>
      <c r="B726" s="17" t="n"/>
      <c r="C726" s="18" t="n"/>
      <c r="D726" s="19" t="n"/>
      <c r="E726" s="17" t="n"/>
      <c r="F726" s="21">
        <f>IF(OR(B726="",C726=""),"",IFERROR(INT(ROUND(IFERROR(TIMEVALUE(IF(LEN(C726)-LEN(SUBSTITUTE(C726,":",""))=2,"","0:")&amp;C726)*86400,"")/VALUE(SUBSTITUTE(B726,"K","")),0)/60)&amp;":"&amp;TEXT(MOD(ROUND(IFERROR(TIMEVALUE(IF(LEN(C726)-LEN(SUBSTITUTE(C726,":",""))=2,"","0:")&amp;C726)*86400,"")/VALUE(SUBSTITUTE(B726,"K","")),0),60),"00"),""))</f>
        <v/>
      </c>
      <c r="G726" s="21">
        <f>IF(A726="","",IF(COUNTIF(Atletas!$A$2:$A$302,A726)&gt;0,"Sí","No"))</f>
        <v/>
      </c>
    </row>
    <row r="727">
      <c r="A727" s="17" t="n"/>
      <c r="B727" s="17" t="n"/>
      <c r="C727" s="18" t="n"/>
      <c r="D727" s="19" t="n"/>
      <c r="E727" s="17" t="n"/>
      <c r="F727" s="21">
        <f>IF(OR(B727="",C727=""),"",IFERROR(INT(ROUND(IFERROR(TIMEVALUE(IF(LEN(C727)-LEN(SUBSTITUTE(C727,":",""))=2,"","0:")&amp;C727)*86400,"")/VALUE(SUBSTITUTE(B727,"K","")),0)/60)&amp;":"&amp;TEXT(MOD(ROUND(IFERROR(TIMEVALUE(IF(LEN(C727)-LEN(SUBSTITUTE(C727,":",""))=2,"","0:")&amp;C727)*86400,"")/VALUE(SUBSTITUTE(B727,"K","")),0),60),"00"),""))</f>
        <v/>
      </c>
      <c r="G727" s="21">
        <f>IF(A727="","",IF(COUNTIF(Atletas!$A$2:$A$302,A727)&gt;0,"Sí","No"))</f>
        <v/>
      </c>
    </row>
    <row r="728">
      <c r="A728" s="17" t="n"/>
      <c r="B728" s="17" t="n"/>
      <c r="C728" s="18" t="n"/>
      <c r="D728" s="19" t="n"/>
      <c r="E728" s="17" t="n"/>
      <c r="F728" s="21">
        <f>IF(OR(B728="",C728=""),"",IFERROR(INT(ROUND(IFERROR(TIMEVALUE(IF(LEN(C728)-LEN(SUBSTITUTE(C728,":",""))=2,"","0:")&amp;C728)*86400,"")/VALUE(SUBSTITUTE(B728,"K","")),0)/60)&amp;":"&amp;TEXT(MOD(ROUND(IFERROR(TIMEVALUE(IF(LEN(C728)-LEN(SUBSTITUTE(C728,":",""))=2,"","0:")&amp;C728)*86400,"")/VALUE(SUBSTITUTE(B728,"K","")),0),60),"00"),""))</f>
        <v/>
      </c>
      <c r="G728" s="21">
        <f>IF(A728="","",IF(COUNTIF(Atletas!$A$2:$A$302,A728)&gt;0,"Sí","No"))</f>
        <v/>
      </c>
    </row>
    <row r="729">
      <c r="A729" s="17" t="n"/>
      <c r="B729" s="17" t="n"/>
      <c r="C729" s="18" t="n"/>
      <c r="D729" s="19" t="n"/>
      <c r="E729" s="17" t="n"/>
      <c r="F729" s="21">
        <f>IF(OR(B729="",C729=""),"",IFERROR(INT(ROUND(IFERROR(TIMEVALUE(IF(LEN(C729)-LEN(SUBSTITUTE(C729,":",""))=2,"","0:")&amp;C729)*86400,"")/VALUE(SUBSTITUTE(B729,"K","")),0)/60)&amp;":"&amp;TEXT(MOD(ROUND(IFERROR(TIMEVALUE(IF(LEN(C729)-LEN(SUBSTITUTE(C729,":",""))=2,"","0:")&amp;C729)*86400,"")/VALUE(SUBSTITUTE(B729,"K","")),0),60),"00"),""))</f>
        <v/>
      </c>
      <c r="G729" s="21">
        <f>IF(A729="","",IF(COUNTIF(Atletas!$A$2:$A$302,A729)&gt;0,"Sí","No"))</f>
        <v/>
      </c>
    </row>
    <row r="730">
      <c r="A730" s="17" t="n"/>
      <c r="B730" s="17" t="n"/>
      <c r="C730" s="18" t="n"/>
      <c r="D730" s="19" t="n"/>
      <c r="E730" s="17" t="n"/>
      <c r="F730" s="21">
        <f>IF(OR(B730="",C730=""),"",IFERROR(INT(ROUND(IFERROR(TIMEVALUE(IF(LEN(C730)-LEN(SUBSTITUTE(C730,":",""))=2,"","0:")&amp;C730)*86400,"")/VALUE(SUBSTITUTE(B730,"K","")),0)/60)&amp;":"&amp;TEXT(MOD(ROUND(IFERROR(TIMEVALUE(IF(LEN(C730)-LEN(SUBSTITUTE(C730,":",""))=2,"","0:")&amp;C730)*86400,"")/VALUE(SUBSTITUTE(B730,"K","")),0),60),"00"),""))</f>
        <v/>
      </c>
      <c r="G730" s="21">
        <f>IF(A730="","",IF(COUNTIF(Atletas!$A$2:$A$302,A730)&gt;0,"Sí","No"))</f>
        <v/>
      </c>
    </row>
    <row r="731">
      <c r="A731" s="17" t="n"/>
      <c r="B731" s="17" t="n"/>
      <c r="C731" s="18" t="n"/>
      <c r="D731" s="19" t="n"/>
      <c r="E731" s="17" t="n"/>
      <c r="F731" s="21">
        <f>IF(OR(B731="",C731=""),"",IFERROR(INT(ROUND(IFERROR(TIMEVALUE(IF(LEN(C731)-LEN(SUBSTITUTE(C731,":",""))=2,"","0:")&amp;C731)*86400,"")/VALUE(SUBSTITUTE(B731,"K","")),0)/60)&amp;":"&amp;TEXT(MOD(ROUND(IFERROR(TIMEVALUE(IF(LEN(C731)-LEN(SUBSTITUTE(C731,":",""))=2,"","0:")&amp;C731)*86400,"")/VALUE(SUBSTITUTE(B731,"K","")),0),60),"00"),""))</f>
        <v/>
      </c>
      <c r="G731" s="21">
        <f>IF(A731="","",IF(COUNTIF(Atletas!$A$2:$A$302,A731)&gt;0,"Sí","No"))</f>
        <v/>
      </c>
    </row>
    <row r="732">
      <c r="A732" s="17" t="n"/>
      <c r="B732" s="17" t="n"/>
      <c r="C732" s="18" t="n"/>
      <c r="D732" s="19" t="n"/>
      <c r="E732" s="17" t="n"/>
      <c r="F732" s="21">
        <f>IF(OR(B732="",C732=""),"",IFERROR(INT(ROUND(IFERROR(TIMEVALUE(IF(LEN(C732)-LEN(SUBSTITUTE(C732,":",""))=2,"","0:")&amp;C732)*86400,"")/VALUE(SUBSTITUTE(B732,"K","")),0)/60)&amp;":"&amp;TEXT(MOD(ROUND(IFERROR(TIMEVALUE(IF(LEN(C732)-LEN(SUBSTITUTE(C732,":",""))=2,"","0:")&amp;C732)*86400,"")/VALUE(SUBSTITUTE(B732,"K","")),0),60),"00"),""))</f>
        <v/>
      </c>
      <c r="G732" s="21">
        <f>IF(A732="","",IF(COUNTIF(Atletas!$A$2:$A$302,A732)&gt;0,"Sí","No"))</f>
        <v/>
      </c>
    </row>
    <row r="733">
      <c r="A733" s="17" t="n"/>
      <c r="B733" s="17" t="n"/>
      <c r="C733" s="18" t="n"/>
      <c r="D733" s="19" t="n"/>
      <c r="E733" s="17" t="n"/>
      <c r="F733" s="21">
        <f>IF(OR(B733="",C733=""),"",IFERROR(INT(ROUND(IFERROR(TIMEVALUE(IF(LEN(C733)-LEN(SUBSTITUTE(C733,":",""))=2,"","0:")&amp;C733)*86400,"")/VALUE(SUBSTITUTE(B733,"K","")),0)/60)&amp;":"&amp;TEXT(MOD(ROUND(IFERROR(TIMEVALUE(IF(LEN(C733)-LEN(SUBSTITUTE(C733,":",""))=2,"","0:")&amp;C733)*86400,"")/VALUE(SUBSTITUTE(B733,"K","")),0),60),"00"),""))</f>
        <v/>
      </c>
      <c r="G733" s="21">
        <f>IF(A733="","",IF(COUNTIF(Atletas!$A$2:$A$302,A733)&gt;0,"Sí","No"))</f>
        <v/>
      </c>
    </row>
    <row r="734">
      <c r="A734" s="17" t="n"/>
      <c r="B734" s="17" t="n"/>
      <c r="C734" s="18" t="n"/>
      <c r="D734" s="19" t="n"/>
      <c r="E734" s="17" t="n"/>
      <c r="F734" s="21">
        <f>IF(OR(B734="",C734=""),"",IFERROR(INT(ROUND(IFERROR(TIMEVALUE(IF(LEN(C734)-LEN(SUBSTITUTE(C734,":",""))=2,"","0:")&amp;C734)*86400,"")/VALUE(SUBSTITUTE(B734,"K","")),0)/60)&amp;":"&amp;TEXT(MOD(ROUND(IFERROR(TIMEVALUE(IF(LEN(C734)-LEN(SUBSTITUTE(C734,":",""))=2,"","0:")&amp;C734)*86400,"")/VALUE(SUBSTITUTE(B734,"K","")),0),60),"00"),""))</f>
        <v/>
      </c>
      <c r="G734" s="21">
        <f>IF(A734="","",IF(COUNTIF(Atletas!$A$2:$A$302,A734)&gt;0,"Sí","No"))</f>
        <v/>
      </c>
    </row>
    <row r="735">
      <c r="A735" s="17" t="n"/>
      <c r="B735" s="17" t="n"/>
      <c r="C735" s="18" t="n"/>
      <c r="D735" s="19" t="n"/>
      <c r="E735" s="17" t="n"/>
      <c r="F735" s="21">
        <f>IF(OR(B735="",C735=""),"",IFERROR(INT(ROUND(IFERROR(TIMEVALUE(IF(LEN(C735)-LEN(SUBSTITUTE(C735,":",""))=2,"","0:")&amp;C735)*86400,"")/VALUE(SUBSTITUTE(B735,"K","")),0)/60)&amp;":"&amp;TEXT(MOD(ROUND(IFERROR(TIMEVALUE(IF(LEN(C735)-LEN(SUBSTITUTE(C735,":",""))=2,"","0:")&amp;C735)*86400,"")/VALUE(SUBSTITUTE(B735,"K","")),0),60),"00"),""))</f>
        <v/>
      </c>
      <c r="G735" s="21">
        <f>IF(A735="","",IF(COUNTIF(Atletas!$A$2:$A$302,A735)&gt;0,"Sí","No"))</f>
        <v/>
      </c>
    </row>
    <row r="736">
      <c r="A736" s="17" t="n"/>
      <c r="B736" s="17" t="n"/>
      <c r="C736" s="18" t="n"/>
      <c r="D736" s="19" t="n"/>
      <c r="E736" s="17" t="n"/>
      <c r="F736" s="21">
        <f>IF(OR(B736="",C736=""),"",IFERROR(INT(ROUND(IFERROR(TIMEVALUE(IF(LEN(C736)-LEN(SUBSTITUTE(C736,":",""))=2,"","0:")&amp;C736)*86400,"")/VALUE(SUBSTITUTE(B736,"K","")),0)/60)&amp;":"&amp;TEXT(MOD(ROUND(IFERROR(TIMEVALUE(IF(LEN(C736)-LEN(SUBSTITUTE(C736,":",""))=2,"","0:")&amp;C736)*86400,"")/VALUE(SUBSTITUTE(B736,"K","")),0),60),"00"),""))</f>
        <v/>
      </c>
      <c r="G736" s="21">
        <f>IF(A736="","",IF(COUNTIF(Atletas!$A$2:$A$302,A736)&gt;0,"Sí","No"))</f>
        <v/>
      </c>
    </row>
    <row r="737">
      <c r="A737" s="17" t="n"/>
      <c r="B737" s="17" t="n"/>
      <c r="C737" s="18" t="n"/>
      <c r="D737" s="19" t="n"/>
      <c r="E737" s="17" t="n"/>
      <c r="F737" s="21">
        <f>IF(OR(B737="",C737=""),"",IFERROR(INT(ROUND(IFERROR(TIMEVALUE(IF(LEN(C737)-LEN(SUBSTITUTE(C737,":",""))=2,"","0:")&amp;C737)*86400,"")/VALUE(SUBSTITUTE(B737,"K","")),0)/60)&amp;":"&amp;TEXT(MOD(ROUND(IFERROR(TIMEVALUE(IF(LEN(C737)-LEN(SUBSTITUTE(C737,":",""))=2,"","0:")&amp;C737)*86400,"")/VALUE(SUBSTITUTE(B737,"K","")),0),60),"00"),""))</f>
        <v/>
      </c>
      <c r="G737" s="21">
        <f>IF(A737="","",IF(COUNTIF(Atletas!$A$2:$A$302,A737)&gt;0,"Sí","No"))</f>
        <v/>
      </c>
    </row>
    <row r="738">
      <c r="A738" s="17" t="n"/>
      <c r="B738" s="17" t="n"/>
      <c r="C738" s="18" t="n"/>
      <c r="D738" s="19" t="n"/>
      <c r="E738" s="17" t="n"/>
      <c r="F738" s="21">
        <f>IF(OR(B738="",C738=""),"",IFERROR(INT(ROUND(IFERROR(TIMEVALUE(IF(LEN(C738)-LEN(SUBSTITUTE(C738,":",""))=2,"","0:")&amp;C738)*86400,"")/VALUE(SUBSTITUTE(B738,"K","")),0)/60)&amp;":"&amp;TEXT(MOD(ROUND(IFERROR(TIMEVALUE(IF(LEN(C738)-LEN(SUBSTITUTE(C738,":",""))=2,"","0:")&amp;C738)*86400,"")/VALUE(SUBSTITUTE(B738,"K","")),0),60),"00"),""))</f>
        <v/>
      </c>
      <c r="G738" s="21">
        <f>IF(A738="","",IF(COUNTIF(Atletas!$A$2:$A$302,A738)&gt;0,"Sí","No"))</f>
        <v/>
      </c>
    </row>
    <row r="739">
      <c r="A739" s="17" t="n"/>
      <c r="B739" s="17" t="n"/>
      <c r="C739" s="18" t="n"/>
      <c r="D739" s="19" t="n"/>
      <c r="E739" s="17" t="n"/>
      <c r="F739" s="21">
        <f>IF(OR(B739="",C739=""),"",IFERROR(INT(ROUND(IFERROR(TIMEVALUE(IF(LEN(C739)-LEN(SUBSTITUTE(C739,":",""))=2,"","0:")&amp;C739)*86400,"")/VALUE(SUBSTITUTE(B739,"K","")),0)/60)&amp;":"&amp;TEXT(MOD(ROUND(IFERROR(TIMEVALUE(IF(LEN(C739)-LEN(SUBSTITUTE(C739,":",""))=2,"","0:")&amp;C739)*86400,"")/VALUE(SUBSTITUTE(B739,"K","")),0),60),"00"),""))</f>
        <v/>
      </c>
      <c r="G739" s="21">
        <f>IF(A739="","",IF(COUNTIF(Atletas!$A$2:$A$302,A739)&gt;0,"Sí","No"))</f>
        <v/>
      </c>
    </row>
    <row r="740">
      <c r="A740" s="17" t="n"/>
      <c r="B740" s="17" t="n"/>
      <c r="C740" s="18" t="n"/>
      <c r="D740" s="19" t="n"/>
      <c r="E740" s="17" t="n"/>
      <c r="F740" s="21">
        <f>IF(OR(B740="",C740=""),"",IFERROR(INT(ROUND(IFERROR(TIMEVALUE(IF(LEN(C740)-LEN(SUBSTITUTE(C740,":",""))=2,"","0:")&amp;C740)*86400,"")/VALUE(SUBSTITUTE(B740,"K","")),0)/60)&amp;":"&amp;TEXT(MOD(ROUND(IFERROR(TIMEVALUE(IF(LEN(C740)-LEN(SUBSTITUTE(C740,":",""))=2,"","0:")&amp;C740)*86400,"")/VALUE(SUBSTITUTE(B740,"K","")),0),60),"00"),""))</f>
        <v/>
      </c>
      <c r="G740" s="21">
        <f>IF(A740="","",IF(COUNTIF(Atletas!$A$2:$A$302,A740)&gt;0,"Sí","No"))</f>
        <v/>
      </c>
    </row>
    <row r="741">
      <c r="A741" s="17" t="n"/>
      <c r="B741" s="17" t="n"/>
      <c r="C741" s="18" t="n"/>
      <c r="D741" s="19" t="n"/>
      <c r="E741" s="17" t="n"/>
      <c r="F741" s="21">
        <f>IF(OR(B741="",C741=""),"",IFERROR(INT(ROUND(IFERROR(TIMEVALUE(IF(LEN(C741)-LEN(SUBSTITUTE(C741,":",""))=2,"","0:")&amp;C741)*86400,"")/VALUE(SUBSTITUTE(B741,"K","")),0)/60)&amp;":"&amp;TEXT(MOD(ROUND(IFERROR(TIMEVALUE(IF(LEN(C741)-LEN(SUBSTITUTE(C741,":",""))=2,"","0:")&amp;C741)*86400,"")/VALUE(SUBSTITUTE(B741,"K","")),0),60),"00"),""))</f>
        <v/>
      </c>
      <c r="G741" s="21">
        <f>IF(A741="","",IF(COUNTIF(Atletas!$A$2:$A$302,A741)&gt;0,"Sí","No"))</f>
        <v/>
      </c>
    </row>
    <row r="742">
      <c r="A742" s="17" t="n"/>
      <c r="B742" s="17" t="n"/>
      <c r="C742" s="18" t="n"/>
      <c r="D742" s="19" t="n"/>
      <c r="E742" s="17" t="n"/>
      <c r="F742" s="21">
        <f>IF(OR(B742="",C742=""),"",IFERROR(INT(ROUND(IFERROR(TIMEVALUE(IF(LEN(C742)-LEN(SUBSTITUTE(C742,":",""))=2,"","0:")&amp;C742)*86400,"")/VALUE(SUBSTITUTE(B742,"K","")),0)/60)&amp;":"&amp;TEXT(MOD(ROUND(IFERROR(TIMEVALUE(IF(LEN(C742)-LEN(SUBSTITUTE(C742,":",""))=2,"","0:")&amp;C742)*86400,"")/VALUE(SUBSTITUTE(B742,"K","")),0),60),"00"),""))</f>
        <v/>
      </c>
      <c r="G742" s="21">
        <f>IF(A742="","",IF(COUNTIF(Atletas!$A$2:$A$302,A742)&gt;0,"Sí","No"))</f>
        <v/>
      </c>
    </row>
    <row r="743">
      <c r="A743" s="17" t="n"/>
      <c r="B743" s="17" t="n"/>
      <c r="C743" s="18" t="n"/>
      <c r="D743" s="19" t="n"/>
      <c r="E743" s="17" t="n"/>
      <c r="F743" s="21">
        <f>IF(OR(B743="",C743=""),"",IFERROR(INT(ROUND(IFERROR(TIMEVALUE(IF(LEN(C743)-LEN(SUBSTITUTE(C743,":",""))=2,"","0:")&amp;C743)*86400,"")/VALUE(SUBSTITUTE(B743,"K","")),0)/60)&amp;":"&amp;TEXT(MOD(ROUND(IFERROR(TIMEVALUE(IF(LEN(C743)-LEN(SUBSTITUTE(C743,":",""))=2,"","0:")&amp;C743)*86400,"")/VALUE(SUBSTITUTE(B743,"K","")),0),60),"00"),""))</f>
        <v/>
      </c>
      <c r="G743" s="21">
        <f>IF(A743="","",IF(COUNTIF(Atletas!$A$2:$A$302,A743)&gt;0,"Sí","No"))</f>
        <v/>
      </c>
    </row>
    <row r="744">
      <c r="A744" s="17" t="n"/>
      <c r="B744" s="17" t="n"/>
      <c r="C744" s="18" t="n"/>
      <c r="D744" s="19" t="n"/>
      <c r="E744" s="17" t="n"/>
      <c r="F744" s="21">
        <f>IF(OR(B744="",C744=""),"",IFERROR(INT(ROUND(IFERROR(TIMEVALUE(IF(LEN(C744)-LEN(SUBSTITUTE(C744,":",""))=2,"","0:")&amp;C744)*86400,"")/VALUE(SUBSTITUTE(B744,"K","")),0)/60)&amp;":"&amp;TEXT(MOD(ROUND(IFERROR(TIMEVALUE(IF(LEN(C744)-LEN(SUBSTITUTE(C744,":",""))=2,"","0:")&amp;C744)*86400,"")/VALUE(SUBSTITUTE(B744,"K","")),0),60),"00"),""))</f>
        <v/>
      </c>
      <c r="G744" s="21">
        <f>IF(A744="","",IF(COUNTIF(Atletas!$A$2:$A$302,A744)&gt;0,"Sí","No"))</f>
        <v/>
      </c>
    </row>
    <row r="745">
      <c r="A745" s="17" t="n"/>
      <c r="B745" s="17" t="n"/>
      <c r="C745" s="18" t="n"/>
      <c r="D745" s="19" t="n"/>
      <c r="E745" s="17" t="n"/>
      <c r="F745" s="21">
        <f>IF(OR(B745="",C745=""),"",IFERROR(INT(ROUND(IFERROR(TIMEVALUE(IF(LEN(C745)-LEN(SUBSTITUTE(C745,":",""))=2,"","0:")&amp;C745)*86400,"")/VALUE(SUBSTITUTE(B745,"K","")),0)/60)&amp;":"&amp;TEXT(MOD(ROUND(IFERROR(TIMEVALUE(IF(LEN(C745)-LEN(SUBSTITUTE(C745,":",""))=2,"","0:")&amp;C745)*86400,"")/VALUE(SUBSTITUTE(B745,"K","")),0),60),"00"),""))</f>
        <v/>
      </c>
      <c r="G745" s="21">
        <f>IF(A745="","",IF(COUNTIF(Atletas!$A$2:$A$302,A745)&gt;0,"Sí","No"))</f>
        <v/>
      </c>
    </row>
    <row r="746">
      <c r="A746" s="17" t="n"/>
      <c r="B746" s="17" t="n"/>
      <c r="C746" s="18" t="n"/>
      <c r="D746" s="19" t="n"/>
      <c r="E746" s="17" t="n"/>
      <c r="F746" s="21">
        <f>IF(OR(B746="",C746=""),"",IFERROR(INT(ROUND(IFERROR(TIMEVALUE(IF(LEN(C746)-LEN(SUBSTITUTE(C746,":",""))=2,"","0:")&amp;C746)*86400,"")/VALUE(SUBSTITUTE(B746,"K","")),0)/60)&amp;":"&amp;TEXT(MOD(ROUND(IFERROR(TIMEVALUE(IF(LEN(C746)-LEN(SUBSTITUTE(C746,":",""))=2,"","0:")&amp;C746)*86400,"")/VALUE(SUBSTITUTE(B746,"K","")),0),60),"00"),""))</f>
        <v/>
      </c>
      <c r="G746" s="21">
        <f>IF(A746="","",IF(COUNTIF(Atletas!$A$2:$A$302,A746)&gt;0,"Sí","No"))</f>
        <v/>
      </c>
    </row>
    <row r="747">
      <c r="A747" s="17" t="n"/>
      <c r="B747" s="17" t="n"/>
      <c r="C747" s="18" t="n"/>
      <c r="D747" s="19" t="n"/>
      <c r="E747" s="17" t="n"/>
      <c r="F747" s="21">
        <f>IF(OR(B747="",C747=""),"",IFERROR(INT(ROUND(IFERROR(TIMEVALUE(IF(LEN(C747)-LEN(SUBSTITUTE(C747,":",""))=2,"","0:")&amp;C747)*86400,"")/VALUE(SUBSTITUTE(B747,"K","")),0)/60)&amp;":"&amp;TEXT(MOD(ROUND(IFERROR(TIMEVALUE(IF(LEN(C747)-LEN(SUBSTITUTE(C747,":",""))=2,"","0:")&amp;C747)*86400,"")/VALUE(SUBSTITUTE(B747,"K","")),0),60),"00"),""))</f>
        <v/>
      </c>
      <c r="G747" s="21">
        <f>IF(A747="","",IF(COUNTIF(Atletas!$A$2:$A$302,A747)&gt;0,"Sí","No"))</f>
        <v/>
      </c>
    </row>
    <row r="748">
      <c r="A748" s="17" t="n"/>
      <c r="B748" s="17" t="n"/>
      <c r="C748" s="18" t="n"/>
      <c r="D748" s="19" t="n"/>
      <c r="E748" s="17" t="n"/>
      <c r="F748" s="21">
        <f>IF(OR(B748="",C748=""),"",IFERROR(INT(ROUND(IFERROR(TIMEVALUE(IF(LEN(C748)-LEN(SUBSTITUTE(C748,":",""))=2,"","0:")&amp;C748)*86400,"")/VALUE(SUBSTITUTE(B748,"K","")),0)/60)&amp;":"&amp;TEXT(MOD(ROUND(IFERROR(TIMEVALUE(IF(LEN(C748)-LEN(SUBSTITUTE(C748,":",""))=2,"","0:")&amp;C748)*86400,"")/VALUE(SUBSTITUTE(B748,"K","")),0),60),"00"),""))</f>
        <v/>
      </c>
      <c r="G748" s="21">
        <f>IF(A748="","",IF(COUNTIF(Atletas!$A$2:$A$302,A748)&gt;0,"Sí","No"))</f>
        <v/>
      </c>
    </row>
    <row r="749">
      <c r="A749" s="17" t="n"/>
      <c r="B749" s="17" t="n"/>
      <c r="C749" s="18" t="n"/>
      <c r="D749" s="19" t="n"/>
      <c r="E749" s="17" t="n"/>
      <c r="F749" s="21">
        <f>IF(OR(B749="",C749=""),"",IFERROR(INT(ROUND(IFERROR(TIMEVALUE(IF(LEN(C749)-LEN(SUBSTITUTE(C749,":",""))=2,"","0:")&amp;C749)*86400,"")/VALUE(SUBSTITUTE(B749,"K","")),0)/60)&amp;":"&amp;TEXT(MOD(ROUND(IFERROR(TIMEVALUE(IF(LEN(C749)-LEN(SUBSTITUTE(C749,":",""))=2,"","0:")&amp;C749)*86400,"")/VALUE(SUBSTITUTE(B749,"K","")),0),60),"00"),""))</f>
        <v/>
      </c>
      <c r="G749" s="21">
        <f>IF(A749="","",IF(COUNTIF(Atletas!$A$2:$A$302,A749)&gt;0,"Sí","No"))</f>
        <v/>
      </c>
    </row>
    <row r="750">
      <c r="A750" s="17" t="n"/>
      <c r="B750" s="17" t="n"/>
      <c r="C750" s="18" t="n"/>
      <c r="D750" s="19" t="n"/>
      <c r="E750" s="17" t="n"/>
      <c r="F750" s="21">
        <f>IF(OR(B750="",C750=""),"",IFERROR(INT(ROUND(IFERROR(TIMEVALUE(IF(LEN(C750)-LEN(SUBSTITUTE(C750,":",""))=2,"","0:")&amp;C750)*86400,"")/VALUE(SUBSTITUTE(B750,"K","")),0)/60)&amp;":"&amp;TEXT(MOD(ROUND(IFERROR(TIMEVALUE(IF(LEN(C750)-LEN(SUBSTITUTE(C750,":",""))=2,"","0:")&amp;C750)*86400,"")/VALUE(SUBSTITUTE(B750,"K","")),0),60),"00"),""))</f>
        <v/>
      </c>
      <c r="G750" s="21">
        <f>IF(A750="","",IF(COUNTIF(Atletas!$A$2:$A$302,A750)&gt;0,"Sí","No"))</f>
        <v/>
      </c>
    </row>
    <row r="751">
      <c r="A751" s="17" t="n"/>
      <c r="B751" s="17" t="n"/>
      <c r="C751" s="18" t="n"/>
      <c r="D751" s="19" t="n"/>
      <c r="E751" s="17" t="n"/>
      <c r="F751" s="21">
        <f>IF(OR(B751="",C751=""),"",IFERROR(INT(ROUND(IFERROR(TIMEVALUE(IF(LEN(C751)-LEN(SUBSTITUTE(C751,":",""))=2,"","0:")&amp;C751)*86400,"")/VALUE(SUBSTITUTE(B751,"K","")),0)/60)&amp;":"&amp;TEXT(MOD(ROUND(IFERROR(TIMEVALUE(IF(LEN(C751)-LEN(SUBSTITUTE(C751,":",""))=2,"","0:")&amp;C751)*86400,"")/VALUE(SUBSTITUTE(B751,"K","")),0),60),"00"),""))</f>
        <v/>
      </c>
      <c r="G751" s="21">
        <f>IF(A751="","",IF(COUNTIF(Atletas!$A$2:$A$302,A751)&gt;0,"Sí","No"))</f>
        <v/>
      </c>
    </row>
    <row r="752">
      <c r="A752" s="17" t="n"/>
      <c r="B752" s="17" t="n"/>
      <c r="C752" s="18" t="n"/>
      <c r="D752" s="19" t="n"/>
      <c r="E752" s="17" t="n"/>
      <c r="F752" s="21">
        <f>IF(OR(B752="",C752=""),"",IFERROR(INT(ROUND(IFERROR(TIMEVALUE(IF(LEN(C752)-LEN(SUBSTITUTE(C752,":",""))=2,"","0:")&amp;C752)*86400,"")/VALUE(SUBSTITUTE(B752,"K","")),0)/60)&amp;":"&amp;TEXT(MOD(ROUND(IFERROR(TIMEVALUE(IF(LEN(C752)-LEN(SUBSTITUTE(C752,":",""))=2,"","0:")&amp;C752)*86400,"")/VALUE(SUBSTITUTE(B752,"K","")),0),60),"00"),""))</f>
        <v/>
      </c>
      <c r="G752" s="21">
        <f>IF(A752="","",IF(COUNTIF(Atletas!$A$2:$A$302,A752)&gt;0,"Sí","No"))</f>
        <v/>
      </c>
    </row>
    <row r="753">
      <c r="A753" s="17" t="n"/>
      <c r="B753" s="17" t="n"/>
      <c r="C753" s="18" t="n"/>
      <c r="D753" s="19" t="n"/>
      <c r="E753" s="17" t="n"/>
      <c r="F753" s="21">
        <f>IF(OR(B753="",C753=""),"",IFERROR(INT(ROUND(IFERROR(TIMEVALUE(IF(LEN(C753)-LEN(SUBSTITUTE(C753,":",""))=2,"","0:")&amp;C753)*86400,"")/VALUE(SUBSTITUTE(B753,"K","")),0)/60)&amp;":"&amp;TEXT(MOD(ROUND(IFERROR(TIMEVALUE(IF(LEN(C753)-LEN(SUBSTITUTE(C753,":",""))=2,"","0:")&amp;C753)*86400,"")/VALUE(SUBSTITUTE(B753,"K","")),0),60),"00"),""))</f>
        <v/>
      </c>
      <c r="G753" s="21">
        <f>IF(A753="","",IF(COUNTIF(Atletas!$A$2:$A$302,A753)&gt;0,"Sí","No"))</f>
        <v/>
      </c>
    </row>
    <row r="754">
      <c r="A754" s="17" t="n"/>
      <c r="B754" s="17" t="n"/>
      <c r="C754" s="18" t="n"/>
      <c r="D754" s="19" t="n"/>
      <c r="E754" s="17" t="n"/>
      <c r="F754" s="21">
        <f>IF(OR(B754="",C754=""),"",IFERROR(INT(ROUND(IFERROR(TIMEVALUE(IF(LEN(C754)-LEN(SUBSTITUTE(C754,":",""))=2,"","0:")&amp;C754)*86400,"")/VALUE(SUBSTITUTE(B754,"K","")),0)/60)&amp;":"&amp;TEXT(MOD(ROUND(IFERROR(TIMEVALUE(IF(LEN(C754)-LEN(SUBSTITUTE(C754,":",""))=2,"","0:")&amp;C754)*86400,"")/VALUE(SUBSTITUTE(B754,"K","")),0),60),"00"),""))</f>
        <v/>
      </c>
      <c r="G754" s="21">
        <f>IF(A754="","",IF(COUNTIF(Atletas!$A$2:$A$302,A754)&gt;0,"Sí","No"))</f>
        <v/>
      </c>
    </row>
    <row r="755">
      <c r="A755" s="17" t="n"/>
      <c r="B755" s="17" t="n"/>
      <c r="C755" s="18" t="n"/>
      <c r="D755" s="19" t="n"/>
      <c r="E755" s="17" t="n"/>
      <c r="F755" s="21">
        <f>IF(OR(B755="",C755=""),"",IFERROR(INT(ROUND(IFERROR(TIMEVALUE(IF(LEN(C755)-LEN(SUBSTITUTE(C755,":",""))=2,"","0:")&amp;C755)*86400,"")/VALUE(SUBSTITUTE(B755,"K","")),0)/60)&amp;":"&amp;TEXT(MOD(ROUND(IFERROR(TIMEVALUE(IF(LEN(C755)-LEN(SUBSTITUTE(C755,":",""))=2,"","0:")&amp;C755)*86400,"")/VALUE(SUBSTITUTE(B755,"K","")),0),60),"00"),""))</f>
        <v/>
      </c>
      <c r="G755" s="21">
        <f>IF(A755="","",IF(COUNTIF(Atletas!$A$2:$A$302,A755)&gt;0,"Sí","No"))</f>
        <v/>
      </c>
    </row>
    <row r="756">
      <c r="A756" s="17" t="n"/>
      <c r="B756" s="17" t="n"/>
      <c r="C756" s="18" t="n"/>
      <c r="D756" s="19" t="n"/>
      <c r="E756" s="17" t="n"/>
      <c r="F756" s="21">
        <f>IF(OR(B756="",C756=""),"",IFERROR(INT(ROUND(IFERROR(TIMEVALUE(IF(LEN(C756)-LEN(SUBSTITUTE(C756,":",""))=2,"","0:")&amp;C756)*86400,"")/VALUE(SUBSTITUTE(B756,"K","")),0)/60)&amp;":"&amp;TEXT(MOD(ROUND(IFERROR(TIMEVALUE(IF(LEN(C756)-LEN(SUBSTITUTE(C756,":",""))=2,"","0:")&amp;C756)*86400,"")/VALUE(SUBSTITUTE(B756,"K","")),0),60),"00"),""))</f>
        <v/>
      </c>
      <c r="G756" s="21">
        <f>IF(A756="","",IF(COUNTIF(Atletas!$A$2:$A$302,A756)&gt;0,"Sí","No"))</f>
        <v/>
      </c>
    </row>
    <row r="757">
      <c r="A757" s="17" t="n"/>
      <c r="B757" s="17" t="n"/>
      <c r="C757" s="18" t="n"/>
      <c r="D757" s="19" t="n"/>
      <c r="E757" s="17" t="n"/>
      <c r="F757" s="21">
        <f>IF(OR(B757="",C757=""),"",IFERROR(INT(ROUND(IFERROR(TIMEVALUE(IF(LEN(C757)-LEN(SUBSTITUTE(C757,":",""))=2,"","0:")&amp;C757)*86400,"")/VALUE(SUBSTITUTE(B757,"K","")),0)/60)&amp;":"&amp;TEXT(MOD(ROUND(IFERROR(TIMEVALUE(IF(LEN(C757)-LEN(SUBSTITUTE(C757,":",""))=2,"","0:")&amp;C757)*86400,"")/VALUE(SUBSTITUTE(B757,"K","")),0),60),"00"),""))</f>
        <v/>
      </c>
      <c r="G757" s="21">
        <f>IF(A757="","",IF(COUNTIF(Atletas!$A$2:$A$302,A757)&gt;0,"Sí","No"))</f>
        <v/>
      </c>
    </row>
    <row r="758">
      <c r="A758" s="17" t="n"/>
      <c r="B758" s="17" t="n"/>
      <c r="C758" s="18" t="n"/>
      <c r="D758" s="19" t="n"/>
      <c r="E758" s="17" t="n"/>
      <c r="F758" s="21">
        <f>IF(OR(B758="",C758=""),"",IFERROR(INT(ROUND(IFERROR(TIMEVALUE(IF(LEN(C758)-LEN(SUBSTITUTE(C758,":",""))=2,"","0:")&amp;C758)*86400,"")/VALUE(SUBSTITUTE(B758,"K","")),0)/60)&amp;":"&amp;TEXT(MOD(ROUND(IFERROR(TIMEVALUE(IF(LEN(C758)-LEN(SUBSTITUTE(C758,":",""))=2,"","0:")&amp;C758)*86400,"")/VALUE(SUBSTITUTE(B758,"K","")),0),60),"00"),""))</f>
        <v/>
      </c>
      <c r="G758" s="21">
        <f>IF(A758="","",IF(COUNTIF(Atletas!$A$2:$A$302,A758)&gt;0,"Sí","No"))</f>
        <v/>
      </c>
    </row>
    <row r="759">
      <c r="A759" s="17" t="n"/>
      <c r="B759" s="17" t="n"/>
      <c r="C759" s="18" t="n"/>
      <c r="D759" s="19" t="n"/>
      <c r="E759" s="17" t="n"/>
      <c r="F759" s="21">
        <f>IF(OR(B759="",C759=""),"",IFERROR(INT(ROUND(IFERROR(TIMEVALUE(IF(LEN(C759)-LEN(SUBSTITUTE(C759,":",""))=2,"","0:")&amp;C759)*86400,"")/VALUE(SUBSTITUTE(B759,"K","")),0)/60)&amp;":"&amp;TEXT(MOD(ROUND(IFERROR(TIMEVALUE(IF(LEN(C759)-LEN(SUBSTITUTE(C759,":",""))=2,"","0:")&amp;C759)*86400,"")/VALUE(SUBSTITUTE(B759,"K","")),0),60),"00"),""))</f>
        <v/>
      </c>
      <c r="G759" s="21">
        <f>IF(A759="","",IF(COUNTIF(Atletas!$A$2:$A$302,A759)&gt;0,"Sí","No"))</f>
        <v/>
      </c>
    </row>
    <row r="760">
      <c r="A760" s="17" t="n"/>
      <c r="B760" s="17" t="n"/>
      <c r="C760" s="18" t="n"/>
      <c r="D760" s="19" t="n"/>
      <c r="E760" s="17" t="n"/>
      <c r="F760" s="21">
        <f>IF(OR(B760="",C760=""),"",IFERROR(INT(ROUND(IFERROR(TIMEVALUE(IF(LEN(C760)-LEN(SUBSTITUTE(C760,":",""))=2,"","0:")&amp;C760)*86400,"")/VALUE(SUBSTITUTE(B760,"K","")),0)/60)&amp;":"&amp;TEXT(MOD(ROUND(IFERROR(TIMEVALUE(IF(LEN(C760)-LEN(SUBSTITUTE(C760,":",""))=2,"","0:")&amp;C760)*86400,"")/VALUE(SUBSTITUTE(B760,"K","")),0),60),"00"),""))</f>
        <v/>
      </c>
      <c r="G760" s="21">
        <f>IF(A760="","",IF(COUNTIF(Atletas!$A$2:$A$302,A760)&gt;0,"Sí","No"))</f>
        <v/>
      </c>
    </row>
    <row r="761">
      <c r="A761" s="17" t="n"/>
      <c r="B761" s="17" t="n"/>
      <c r="C761" s="18" t="n"/>
      <c r="D761" s="19" t="n"/>
      <c r="E761" s="17" t="n"/>
      <c r="F761" s="21">
        <f>IF(OR(B761="",C761=""),"",IFERROR(INT(ROUND(IFERROR(TIMEVALUE(IF(LEN(C761)-LEN(SUBSTITUTE(C761,":",""))=2,"","0:")&amp;C761)*86400,"")/VALUE(SUBSTITUTE(B761,"K","")),0)/60)&amp;":"&amp;TEXT(MOD(ROUND(IFERROR(TIMEVALUE(IF(LEN(C761)-LEN(SUBSTITUTE(C761,":",""))=2,"","0:")&amp;C761)*86400,"")/VALUE(SUBSTITUTE(B761,"K","")),0),60),"00"),""))</f>
        <v/>
      </c>
      <c r="G761" s="21">
        <f>IF(A761="","",IF(COUNTIF(Atletas!$A$2:$A$302,A761)&gt;0,"Sí","No"))</f>
        <v/>
      </c>
    </row>
    <row r="762">
      <c r="A762" s="17" t="n"/>
      <c r="B762" s="17" t="n"/>
      <c r="C762" s="18" t="n"/>
      <c r="D762" s="19" t="n"/>
      <c r="E762" s="17" t="n"/>
      <c r="F762" s="21">
        <f>IF(OR(B762="",C762=""),"",IFERROR(INT(ROUND(IFERROR(TIMEVALUE(IF(LEN(C762)-LEN(SUBSTITUTE(C762,":",""))=2,"","0:")&amp;C762)*86400,"")/VALUE(SUBSTITUTE(B762,"K","")),0)/60)&amp;":"&amp;TEXT(MOD(ROUND(IFERROR(TIMEVALUE(IF(LEN(C762)-LEN(SUBSTITUTE(C762,":",""))=2,"","0:")&amp;C762)*86400,"")/VALUE(SUBSTITUTE(B762,"K","")),0),60),"00"),""))</f>
        <v/>
      </c>
      <c r="G762" s="21">
        <f>IF(A762="","",IF(COUNTIF(Atletas!$A$2:$A$302,A762)&gt;0,"Sí","No"))</f>
        <v/>
      </c>
    </row>
    <row r="763">
      <c r="A763" s="17" t="n"/>
      <c r="B763" s="17" t="n"/>
      <c r="C763" s="18" t="n"/>
      <c r="D763" s="19" t="n"/>
      <c r="E763" s="17" t="n"/>
      <c r="F763" s="21">
        <f>IF(OR(B763="",C763=""),"",IFERROR(INT(ROUND(IFERROR(TIMEVALUE(IF(LEN(C763)-LEN(SUBSTITUTE(C763,":",""))=2,"","0:")&amp;C763)*86400,"")/VALUE(SUBSTITUTE(B763,"K","")),0)/60)&amp;":"&amp;TEXT(MOD(ROUND(IFERROR(TIMEVALUE(IF(LEN(C763)-LEN(SUBSTITUTE(C763,":",""))=2,"","0:")&amp;C763)*86400,"")/VALUE(SUBSTITUTE(B763,"K","")),0),60),"00"),""))</f>
        <v/>
      </c>
      <c r="G763" s="21">
        <f>IF(A763="","",IF(COUNTIF(Atletas!$A$2:$A$302,A763)&gt;0,"Sí","No"))</f>
        <v/>
      </c>
    </row>
    <row r="764">
      <c r="A764" s="17" t="n"/>
      <c r="B764" s="17" t="n"/>
      <c r="C764" s="18" t="n"/>
      <c r="D764" s="19" t="n"/>
      <c r="E764" s="17" t="n"/>
      <c r="F764" s="21">
        <f>IF(OR(B764="",C764=""),"",IFERROR(INT(ROUND(IFERROR(TIMEVALUE(IF(LEN(C764)-LEN(SUBSTITUTE(C764,":",""))=2,"","0:")&amp;C764)*86400,"")/VALUE(SUBSTITUTE(B764,"K","")),0)/60)&amp;":"&amp;TEXT(MOD(ROUND(IFERROR(TIMEVALUE(IF(LEN(C764)-LEN(SUBSTITUTE(C764,":",""))=2,"","0:")&amp;C764)*86400,"")/VALUE(SUBSTITUTE(B764,"K","")),0),60),"00"),""))</f>
        <v/>
      </c>
      <c r="G764" s="21">
        <f>IF(A764="","",IF(COUNTIF(Atletas!$A$2:$A$302,A764)&gt;0,"Sí","No"))</f>
        <v/>
      </c>
    </row>
    <row r="765">
      <c r="A765" s="17" t="n"/>
      <c r="B765" s="17" t="n"/>
      <c r="C765" s="18" t="n"/>
      <c r="D765" s="19" t="n"/>
      <c r="E765" s="17" t="n"/>
      <c r="F765" s="21">
        <f>IF(OR(B765="",C765=""),"",IFERROR(INT(ROUND(IFERROR(TIMEVALUE(IF(LEN(C765)-LEN(SUBSTITUTE(C765,":",""))=2,"","0:")&amp;C765)*86400,"")/VALUE(SUBSTITUTE(B765,"K","")),0)/60)&amp;":"&amp;TEXT(MOD(ROUND(IFERROR(TIMEVALUE(IF(LEN(C765)-LEN(SUBSTITUTE(C765,":",""))=2,"","0:")&amp;C765)*86400,"")/VALUE(SUBSTITUTE(B765,"K","")),0),60),"00"),""))</f>
        <v/>
      </c>
      <c r="G765" s="21">
        <f>IF(A765="","",IF(COUNTIF(Atletas!$A$2:$A$302,A765)&gt;0,"Sí","No"))</f>
        <v/>
      </c>
    </row>
    <row r="766">
      <c r="A766" s="17" t="n"/>
      <c r="B766" s="17" t="n"/>
      <c r="C766" s="18" t="n"/>
      <c r="D766" s="19" t="n"/>
      <c r="E766" s="17" t="n"/>
      <c r="F766" s="21">
        <f>IF(OR(B766="",C766=""),"",IFERROR(INT(ROUND(IFERROR(TIMEVALUE(IF(LEN(C766)-LEN(SUBSTITUTE(C766,":",""))=2,"","0:")&amp;C766)*86400,"")/VALUE(SUBSTITUTE(B766,"K","")),0)/60)&amp;":"&amp;TEXT(MOD(ROUND(IFERROR(TIMEVALUE(IF(LEN(C766)-LEN(SUBSTITUTE(C766,":",""))=2,"","0:")&amp;C766)*86400,"")/VALUE(SUBSTITUTE(B766,"K","")),0),60),"00"),""))</f>
        <v/>
      </c>
      <c r="G766" s="21">
        <f>IF(A766="","",IF(COUNTIF(Atletas!$A$2:$A$302,A766)&gt;0,"Sí","No"))</f>
        <v/>
      </c>
    </row>
    <row r="767">
      <c r="A767" s="17" t="n"/>
      <c r="B767" s="17" t="n"/>
      <c r="C767" s="18" t="n"/>
      <c r="D767" s="19" t="n"/>
      <c r="E767" s="17" t="n"/>
      <c r="F767" s="21">
        <f>IF(OR(B767="",C767=""),"",IFERROR(INT(ROUND(IFERROR(TIMEVALUE(IF(LEN(C767)-LEN(SUBSTITUTE(C767,":",""))=2,"","0:")&amp;C767)*86400,"")/VALUE(SUBSTITUTE(B767,"K","")),0)/60)&amp;":"&amp;TEXT(MOD(ROUND(IFERROR(TIMEVALUE(IF(LEN(C767)-LEN(SUBSTITUTE(C767,":",""))=2,"","0:")&amp;C767)*86400,"")/VALUE(SUBSTITUTE(B767,"K","")),0),60),"00"),""))</f>
        <v/>
      </c>
      <c r="G767" s="21">
        <f>IF(A767="","",IF(COUNTIF(Atletas!$A$2:$A$302,A767)&gt;0,"Sí","No"))</f>
        <v/>
      </c>
    </row>
    <row r="768">
      <c r="A768" s="17" t="n"/>
      <c r="B768" s="17" t="n"/>
      <c r="C768" s="18" t="n"/>
      <c r="D768" s="19" t="n"/>
      <c r="E768" s="17" t="n"/>
      <c r="F768" s="21">
        <f>IF(OR(B768="",C768=""),"",IFERROR(INT(ROUND(IFERROR(TIMEVALUE(IF(LEN(C768)-LEN(SUBSTITUTE(C768,":",""))=2,"","0:")&amp;C768)*86400,"")/VALUE(SUBSTITUTE(B768,"K","")),0)/60)&amp;":"&amp;TEXT(MOD(ROUND(IFERROR(TIMEVALUE(IF(LEN(C768)-LEN(SUBSTITUTE(C768,":",""))=2,"","0:")&amp;C768)*86400,"")/VALUE(SUBSTITUTE(B768,"K","")),0),60),"00"),""))</f>
        <v/>
      </c>
      <c r="G768" s="21">
        <f>IF(A768="","",IF(COUNTIF(Atletas!$A$2:$A$302,A768)&gt;0,"Sí","No"))</f>
        <v/>
      </c>
    </row>
    <row r="769">
      <c r="A769" s="17" t="n"/>
      <c r="B769" s="17" t="n"/>
      <c r="C769" s="18" t="n"/>
      <c r="D769" s="19" t="n"/>
      <c r="E769" s="17" t="n"/>
      <c r="F769" s="21">
        <f>IF(OR(B769="",C769=""),"",IFERROR(INT(ROUND(IFERROR(TIMEVALUE(IF(LEN(C769)-LEN(SUBSTITUTE(C769,":",""))=2,"","0:")&amp;C769)*86400,"")/VALUE(SUBSTITUTE(B769,"K","")),0)/60)&amp;":"&amp;TEXT(MOD(ROUND(IFERROR(TIMEVALUE(IF(LEN(C769)-LEN(SUBSTITUTE(C769,":",""))=2,"","0:")&amp;C769)*86400,"")/VALUE(SUBSTITUTE(B769,"K","")),0),60),"00"),""))</f>
        <v/>
      </c>
      <c r="G769" s="21">
        <f>IF(A769="","",IF(COUNTIF(Atletas!$A$2:$A$302,A769)&gt;0,"Sí","No"))</f>
        <v/>
      </c>
    </row>
    <row r="770">
      <c r="A770" s="17" t="n"/>
      <c r="B770" s="17" t="n"/>
      <c r="C770" s="18" t="n"/>
      <c r="D770" s="19" t="n"/>
      <c r="E770" s="17" t="n"/>
      <c r="F770" s="21">
        <f>IF(OR(B770="",C770=""),"",IFERROR(INT(ROUND(IFERROR(TIMEVALUE(IF(LEN(C770)-LEN(SUBSTITUTE(C770,":",""))=2,"","0:")&amp;C770)*86400,"")/VALUE(SUBSTITUTE(B770,"K","")),0)/60)&amp;":"&amp;TEXT(MOD(ROUND(IFERROR(TIMEVALUE(IF(LEN(C770)-LEN(SUBSTITUTE(C770,":",""))=2,"","0:")&amp;C770)*86400,"")/VALUE(SUBSTITUTE(B770,"K","")),0),60),"00"),""))</f>
        <v/>
      </c>
      <c r="G770" s="21">
        <f>IF(A770="","",IF(COUNTIF(Atletas!$A$2:$A$302,A770)&gt;0,"Sí","No"))</f>
        <v/>
      </c>
    </row>
    <row r="771">
      <c r="A771" s="17" t="n"/>
      <c r="B771" s="17" t="n"/>
      <c r="C771" s="18" t="n"/>
      <c r="D771" s="19" t="n"/>
      <c r="E771" s="17" t="n"/>
      <c r="F771" s="21">
        <f>IF(OR(B771="",C771=""),"",IFERROR(INT(ROUND(IFERROR(TIMEVALUE(IF(LEN(C771)-LEN(SUBSTITUTE(C771,":",""))=2,"","0:")&amp;C771)*86400,"")/VALUE(SUBSTITUTE(B771,"K","")),0)/60)&amp;":"&amp;TEXT(MOD(ROUND(IFERROR(TIMEVALUE(IF(LEN(C771)-LEN(SUBSTITUTE(C771,":",""))=2,"","0:")&amp;C771)*86400,"")/VALUE(SUBSTITUTE(B771,"K","")),0),60),"00"),""))</f>
        <v/>
      </c>
      <c r="G771" s="21">
        <f>IF(A771="","",IF(COUNTIF(Atletas!$A$2:$A$302,A771)&gt;0,"Sí","No"))</f>
        <v/>
      </c>
    </row>
    <row r="772">
      <c r="A772" s="17" t="n"/>
      <c r="B772" s="17" t="n"/>
      <c r="C772" s="18" t="n"/>
      <c r="D772" s="19" t="n"/>
      <c r="E772" s="17" t="n"/>
      <c r="F772" s="21">
        <f>IF(OR(B772="",C772=""),"",IFERROR(INT(ROUND(IFERROR(TIMEVALUE(IF(LEN(C772)-LEN(SUBSTITUTE(C772,":",""))=2,"","0:")&amp;C772)*86400,"")/VALUE(SUBSTITUTE(B772,"K","")),0)/60)&amp;":"&amp;TEXT(MOD(ROUND(IFERROR(TIMEVALUE(IF(LEN(C772)-LEN(SUBSTITUTE(C772,":",""))=2,"","0:")&amp;C772)*86400,"")/VALUE(SUBSTITUTE(B772,"K","")),0),60),"00"),""))</f>
        <v/>
      </c>
      <c r="G772" s="21">
        <f>IF(A772="","",IF(COUNTIF(Atletas!$A$2:$A$302,A772)&gt;0,"Sí","No"))</f>
        <v/>
      </c>
    </row>
    <row r="773">
      <c r="A773" s="17" t="n"/>
      <c r="B773" s="17" t="n"/>
      <c r="C773" s="18" t="n"/>
      <c r="D773" s="19" t="n"/>
      <c r="E773" s="17" t="n"/>
      <c r="F773" s="21">
        <f>IF(OR(B773="",C773=""),"",IFERROR(INT(ROUND(IFERROR(TIMEVALUE(IF(LEN(C773)-LEN(SUBSTITUTE(C773,":",""))=2,"","0:")&amp;C773)*86400,"")/VALUE(SUBSTITUTE(B773,"K","")),0)/60)&amp;":"&amp;TEXT(MOD(ROUND(IFERROR(TIMEVALUE(IF(LEN(C773)-LEN(SUBSTITUTE(C773,":",""))=2,"","0:")&amp;C773)*86400,"")/VALUE(SUBSTITUTE(B773,"K","")),0),60),"00"),""))</f>
        <v/>
      </c>
      <c r="G773" s="21">
        <f>IF(A773="","",IF(COUNTIF(Atletas!$A$2:$A$302,A773)&gt;0,"Sí","No"))</f>
        <v/>
      </c>
    </row>
    <row r="774">
      <c r="A774" s="17" t="n"/>
      <c r="B774" s="17" t="n"/>
      <c r="C774" s="18" t="n"/>
      <c r="D774" s="19" t="n"/>
      <c r="E774" s="17" t="n"/>
      <c r="F774" s="21">
        <f>IF(OR(B774="",C774=""),"",IFERROR(INT(ROUND(IFERROR(TIMEVALUE(IF(LEN(C774)-LEN(SUBSTITUTE(C774,":",""))=2,"","0:")&amp;C774)*86400,"")/VALUE(SUBSTITUTE(B774,"K","")),0)/60)&amp;":"&amp;TEXT(MOD(ROUND(IFERROR(TIMEVALUE(IF(LEN(C774)-LEN(SUBSTITUTE(C774,":",""))=2,"","0:")&amp;C774)*86400,"")/VALUE(SUBSTITUTE(B774,"K","")),0),60),"00"),""))</f>
        <v/>
      </c>
      <c r="G774" s="21">
        <f>IF(A774="","",IF(COUNTIF(Atletas!$A$2:$A$302,A774)&gt;0,"Sí","No"))</f>
        <v/>
      </c>
    </row>
    <row r="775">
      <c r="A775" s="17" t="n"/>
      <c r="B775" s="17" t="n"/>
      <c r="C775" s="18" t="n"/>
      <c r="D775" s="19" t="n"/>
      <c r="E775" s="17" t="n"/>
      <c r="F775" s="21">
        <f>IF(OR(B775="",C775=""),"",IFERROR(INT(ROUND(IFERROR(TIMEVALUE(IF(LEN(C775)-LEN(SUBSTITUTE(C775,":",""))=2,"","0:")&amp;C775)*86400,"")/VALUE(SUBSTITUTE(B775,"K","")),0)/60)&amp;":"&amp;TEXT(MOD(ROUND(IFERROR(TIMEVALUE(IF(LEN(C775)-LEN(SUBSTITUTE(C775,":",""))=2,"","0:")&amp;C775)*86400,"")/VALUE(SUBSTITUTE(B775,"K","")),0),60),"00"),""))</f>
        <v/>
      </c>
      <c r="G775" s="21">
        <f>IF(A775="","",IF(COUNTIF(Atletas!$A$2:$A$302,A775)&gt;0,"Sí","No"))</f>
        <v/>
      </c>
    </row>
    <row r="776">
      <c r="A776" s="17" t="n"/>
      <c r="B776" s="17" t="n"/>
      <c r="C776" s="18" t="n"/>
      <c r="D776" s="19" t="n"/>
      <c r="E776" s="17" t="n"/>
      <c r="F776" s="21">
        <f>IF(OR(B776="",C776=""),"",IFERROR(INT(ROUND(IFERROR(TIMEVALUE(IF(LEN(C776)-LEN(SUBSTITUTE(C776,":",""))=2,"","0:")&amp;C776)*86400,"")/VALUE(SUBSTITUTE(B776,"K","")),0)/60)&amp;":"&amp;TEXT(MOD(ROUND(IFERROR(TIMEVALUE(IF(LEN(C776)-LEN(SUBSTITUTE(C776,":",""))=2,"","0:")&amp;C776)*86400,"")/VALUE(SUBSTITUTE(B776,"K","")),0),60),"00"),""))</f>
        <v/>
      </c>
      <c r="G776" s="21">
        <f>IF(A776="","",IF(COUNTIF(Atletas!$A$2:$A$302,A776)&gt;0,"Sí","No"))</f>
        <v/>
      </c>
    </row>
    <row r="777">
      <c r="A777" s="17" t="n"/>
      <c r="B777" s="17" t="n"/>
      <c r="C777" s="18" t="n"/>
      <c r="D777" s="19" t="n"/>
      <c r="E777" s="17" t="n"/>
      <c r="F777" s="21">
        <f>IF(OR(B777="",C777=""),"",IFERROR(INT(ROUND(IFERROR(TIMEVALUE(IF(LEN(C777)-LEN(SUBSTITUTE(C777,":",""))=2,"","0:")&amp;C777)*86400,"")/VALUE(SUBSTITUTE(B777,"K","")),0)/60)&amp;":"&amp;TEXT(MOD(ROUND(IFERROR(TIMEVALUE(IF(LEN(C777)-LEN(SUBSTITUTE(C777,":",""))=2,"","0:")&amp;C777)*86400,"")/VALUE(SUBSTITUTE(B777,"K","")),0),60),"00"),""))</f>
        <v/>
      </c>
      <c r="G777" s="21">
        <f>IF(A777="","",IF(COUNTIF(Atletas!$A$2:$A$302,A777)&gt;0,"Sí","No"))</f>
        <v/>
      </c>
    </row>
    <row r="778">
      <c r="A778" s="17" t="n"/>
      <c r="B778" s="17" t="n"/>
      <c r="C778" s="18" t="n"/>
      <c r="D778" s="19" t="n"/>
      <c r="E778" s="17" t="n"/>
      <c r="F778" s="21">
        <f>IF(OR(B778="",C778=""),"",IFERROR(INT(ROUND(IFERROR(TIMEVALUE(IF(LEN(C778)-LEN(SUBSTITUTE(C778,":",""))=2,"","0:")&amp;C778)*86400,"")/VALUE(SUBSTITUTE(B778,"K","")),0)/60)&amp;":"&amp;TEXT(MOD(ROUND(IFERROR(TIMEVALUE(IF(LEN(C778)-LEN(SUBSTITUTE(C778,":",""))=2,"","0:")&amp;C778)*86400,"")/VALUE(SUBSTITUTE(B778,"K","")),0),60),"00"),""))</f>
        <v/>
      </c>
      <c r="G778" s="21">
        <f>IF(A778="","",IF(COUNTIF(Atletas!$A$2:$A$302,A778)&gt;0,"Sí","No"))</f>
        <v/>
      </c>
    </row>
    <row r="779">
      <c r="A779" s="17" t="n"/>
      <c r="B779" s="17" t="n"/>
      <c r="C779" s="18" t="n"/>
      <c r="D779" s="19" t="n"/>
      <c r="E779" s="17" t="n"/>
      <c r="F779" s="21">
        <f>IF(OR(B779="",C779=""),"",IFERROR(INT(ROUND(IFERROR(TIMEVALUE(IF(LEN(C779)-LEN(SUBSTITUTE(C779,":",""))=2,"","0:")&amp;C779)*86400,"")/VALUE(SUBSTITUTE(B779,"K","")),0)/60)&amp;":"&amp;TEXT(MOD(ROUND(IFERROR(TIMEVALUE(IF(LEN(C779)-LEN(SUBSTITUTE(C779,":",""))=2,"","0:")&amp;C779)*86400,"")/VALUE(SUBSTITUTE(B779,"K","")),0),60),"00"),""))</f>
        <v/>
      </c>
      <c r="G779" s="21">
        <f>IF(A779="","",IF(COUNTIF(Atletas!$A$2:$A$302,A779)&gt;0,"Sí","No"))</f>
        <v/>
      </c>
    </row>
    <row r="780">
      <c r="A780" s="17" t="n"/>
      <c r="B780" s="17" t="n"/>
      <c r="C780" s="18" t="n"/>
      <c r="D780" s="19" t="n"/>
      <c r="E780" s="17" t="n"/>
      <c r="F780" s="21">
        <f>IF(OR(B780="",C780=""),"",IFERROR(INT(ROUND(IFERROR(TIMEVALUE(IF(LEN(C780)-LEN(SUBSTITUTE(C780,":",""))=2,"","0:")&amp;C780)*86400,"")/VALUE(SUBSTITUTE(B780,"K","")),0)/60)&amp;":"&amp;TEXT(MOD(ROUND(IFERROR(TIMEVALUE(IF(LEN(C780)-LEN(SUBSTITUTE(C780,":",""))=2,"","0:")&amp;C780)*86400,"")/VALUE(SUBSTITUTE(B780,"K","")),0),60),"00"),""))</f>
        <v/>
      </c>
      <c r="G780" s="21">
        <f>IF(A780="","",IF(COUNTIF(Atletas!$A$2:$A$302,A780)&gt;0,"Sí","No"))</f>
        <v/>
      </c>
    </row>
    <row r="781">
      <c r="A781" s="17" t="n"/>
      <c r="B781" s="17" t="n"/>
      <c r="C781" s="18" t="n"/>
      <c r="D781" s="19" t="n"/>
      <c r="E781" s="17" t="n"/>
      <c r="F781" s="21">
        <f>IF(OR(B781="",C781=""),"",IFERROR(INT(ROUND(IFERROR(TIMEVALUE(IF(LEN(C781)-LEN(SUBSTITUTE(C781,":",""))=2,"","0:")&amp;C781)*86400,"")/VALUE(SUBSTITUTE(B781,"K","")),0)/60)&amp;":"&amp;TEXT(MOD(ROUND(IFERROR(TIMEVALUE(IF(LEN(C781)-LEN(SUBSTITUTE(C781,":",""))=2,"","0:")&amp;C781)*86400,"")/VALUE(SUBSTITUTE(B781,"K","")),0),60),"00"),""))</f>
        <v/>
      </c>
      <c r="G781" s="21">
        <f>IF(A781="","",IF(COUNTIF(Atletas!$A$2:$A$302,A781)&gt;0,"Sí","No"))</f>
        <v/>
      </c>
    </row>
    <row r="782">
      <c r="A782" s="17" t="n"/>
      <c r="B782" s="17" t="n"/>
      <c r="C782" s="18" t="n"/>
      <c r="D782" s="19" t="n"/>
      <c r="E782" s="17" t="n"/>
      <c r="F782" s="21">
        <f>IF(OR(B782="",C782=""),"",IFERROR(INT(ROUND(IFERROR(TIMEVALUE(IF(LEN(C782)-LEN(SUBSTITUTE(C782,":",""))=2,"","0:")&amp;C782)*86400,"")/VALUE(SUBSTITUTE(B782,"K","")),0)/60)&amp;":"&amp;TEXT(MOD(ROUND(IFERROR(TIMEVALUE(IF(LEN(C782)-LEN(SUBSTITUTE(C782,":",""))=2,"","0:")&amp;C782)*86400,"")/VALUE(SUBSTITUTE(B782,"K","")),0),60),"00"),""))</f>
        <v/>
      </c>
      <c r="G782" s="21">
        <f>IF(A782="","",IF(COUNTIF(Atletas!$A$2:$A$302,A782)&gt;0,"Sí","No"))</f>
        <v/>
      </c>
    </row>
    <row r="783">
      <c r="A783" s="17" t="n"/>
      <c r="B783" s="17" t="n"/>
      <c r="C783" s="18" t="n"/>
      <c r="D783" s="19" t="n"/>
      <c r="E783" s="17" t="n"/>
      <c r="F783" s="21">
        <f>IF(OR(B783="",C783=""),"",IFERROR(INT(ROUND(IFERROR(TIMEVALUE(IF(LEN(C783)-LEN(SUBSTITUTE(C783,":",""))=2,"","0:")&amp;C783)*86400,"")/VALUE(SUBSTITUTE(B783,"K","")),0)/60)&amp;":"&amp;TEXT(MOD(ROUND(IFERROR(TIMEVALUE(IF(LEN(C783)-LEN(SUBSTITUTE(C783,":",""))=2,"","0:")&amp;C783)*86400,"")/VALUE(SUBSTITUTE(B783,"K","")),0),60),"00"),""))</f>
        <v/>
      </c>
      <c r="G783" s="21">
        <f>IF(A783="","",IF(COUNTIF(Atletas!$A$2:$A$302,A783)&gt;0,"Sí","No"))</f>
        <v/>
      </c>
    </row>
    <row r="784">
      <c r="A784" s="17" t="n"/>
      <c r="B784" s="17" t="n"/>
      <c r="C784" s="18" t="n"/>
      <c r="D784" s="19" t="n"/>
      <c r="E784" s="17" t="n"/>
      <c r="F784" s="21">
        <f>IF(OR(B784="",C784=""),"",IFERROR(INT(ROUND(IFERROR(TIMEVALUE(IF(LEN(C784)-LEN(SUBSTITUTE(C784,":",""))=2,"","0:")&amp;C784)*86400,"")/VALUE(SUBSTITUTE(B784,"K","")),0)/60)&amp;":"&amp;TEXT(MOD(ROUND(IFERROR(TIMEVALUE(IF(LEN(C784)-LEN(SUBSTITUTE(C784,":",""))=2,"","0:")&amp;C784)*86400,"")/VALUE(SUBSTITUTE(B784,"K","")),0),60),"00"),""))</f>
        <v/>
      </c>
      <c r="G784" s="21">
        <f>IF(A784="","",IF(COUNTIF(Atletas!$A$2:$A$302,A784)&gt;0,"Sí","No"))</f>
        <v/>
      </c>
    </row>
    <row r="785">
      <c r="A785" s="17" t="n"/>
      <c r="B785" s="17" t="n"/>
      <c r="C785" s="18" t="n"/>
      <c r="D785" s="19" t="n"/>
      <c r="E785" s="17" t="n"/>
      <c r="F785" s="21">
        <f>IF(OR(B785="",C785=""),"",IFERROR(INT(ROUND(IFERROR(TIMEVALUE(IF(LEN(C785)-LEN(SUBSTITUTE(C785,":",""))=2,"","0:")&amp;C785)*86400,"")/VALUE(SUBSTITUTE(B785,"K","")),0)/60)&amp;":"&amp;TEXT(MOD(ROUND(IFERROR(TIMEVALUE(IF(LEN(C785)-LEN(SUBSTITUTE(C785,":",""))=2,"","0:")&amp;C785)*86400,"")/VALUE(SUBSTITUTE(B785,"K","")),0),60),"00"),""))</f>
        <v/>
      </c>
      <c r="G785" s="21">
        <f>IF(A785="","",IF(COUNTIF(Atletas!$A$2:$A$302,A785)&gt;0,"Sí","No"))</f>
        <v/>
      </c>
    </row>
    <row r="786">
      <c r="A786" s="17" t="n"/>
      <c r="B786" s="17" t="n"/>
      <c r="C786" s="18" t="n"/>
      <c r="D786" s="19" t="n"/>
      <c r="E786" s="17" t="n"/>
      <c r="F786" s="21">
        <f>IF(OR(B786="",C786=""),"",IFERROR(INT(ROUND(IFERROR(TIMEVALUE(IF(LEN(C786)-LEN(SUBSTITUTE(C786,":",""))=2,"","0:")&amp;C786)*86400,"")/VALUE(SUBSTITUTE(B786,"K","")),0)/60)&amp;":"&amp;TEXT(MOD(ROUND(IFERROR(TIMEVALUE(IF(LEN(C786)-LEN(SUBSTITUTE(C786,":",""))=2,"","0:")&amp;C786)*86400,"")/VALUE(SUBSTITUTE(B786,"K","")),0),60),"00"),""))</f>
        <v/>
      </c>
      <c r="G786" s="21">
        <f>IF(A786="","",IF(COUNTIF(Atletas!$A$2:$A$302,A786)&gt;0,"Sí","No"))</f>
        <v/>
      </c>
    </row>
    <row r="787">
      <c r="A787" s="17" t="n"/>
      <c r="B787" s="17" t="n"/>
      <c r="C787" s="18" t="n"/>
      <c r="D787" s="19" t="n"/>
      <c r="E787" s="17" t="n"/>
      <c r="F787" s="21">
        <f>IF(OR(B787="",C787=""),"",IFERROR(INT(ROUND(IFERROR(TIMEVALUE(IF(LEN(C787)-LEN(SUBSTITUTE(C787,":",""))=2,"","0:")&amp;C787)*86400,"")/VALUE(SUBSTITUTE(B787,"K","")),0)/60)&amp;":"&amp;TEXT(MOD(ROUND(IFERROR(TIMEVALUE(IF(LEN(C787)-LEN(SUBSTITUTE(C787,":",""))=2,"","0:")&amp;C787)*86400,"")/VALUE(SUBSTITUTE(B787,"K","")),0),60),"00"),""))</f>
        <v/>
      </c>
      <c r="G787" s="21">
        <f>IF(A787="","",IF(COUNTIF(Atletas!$A$2:$A$302,A787)&gt;0,"Sí","No"))</f>
        <v/>
      </c>
    </row>
    <row r="788">
      <c r="A788" s="17" t="n"/>
      <c r="B788" s="17" t="n"/>
      <c r="C788" s="18" t="n"/>
      <c r="D788" s="19" t="n"/>
      <c r="E788" s="17" t="n"/>
      <c r="F788" s="21">
        <f>IF(OR(B788="",C788=""),"",IFERROR(INT(ROUND(IFERROR(TIMEVALUE(IF(LEN(C788)-LEN(SUBSTITUTE(C788,":",""))=2,"","0:")&amp;C788)*86400,"")/VALUE(SUBSTITUTE(B788,"K","")),0)/60)&amp;":"&amp;TEXT(MOD(ROUND(IFERROR(TIMEVALUE(IF(LEN(C788)-LEN(SUBSTITUTE(C788,":",""))=2,"","0:")&amp;C788)*86400,"")/VALUE(SUBSTITUTE(B788,"K","")),0),60),"00"),""))</f>
        <v/>
      </c>
      <c r="G788" s="21">
        <f>IF(A788="","",IF(COUNTIF(Atletas!$A$2:$A$302,A788)&gt;0,"Sí","No"))</f>
        <v/>
      </c>
    </row>
    <row r="789">
      <c r="A789" s="17" t="n"/>
      <c r="B789" s="17" t="n"/>
      <c r="C789" s="18" t="n"/>
      <c r="D789" s="19" t="n"/>
      <c r="E789" s="17" t="n"/>
      <c r="F789" s="21">
        <f>IF(OR(B789="",C789=""),"",IFERROR(INT(ROUND(IFERROR(TIMEVALUE(IF(LEN(C789)-LEN(SUBSTITUTE(C789,":",""))=2,"","0:")&amp;C789)*86400,"")/VALUE(SUBSTITUTE(B789,"K","")),0)/60)&amp;":"&amp;TEXT(MOD(ROUND(IFERROR(TIMEVALUE(IF(LEN(C789)-LEN(SUBSTITUTE(C789,":",""))=2,"","0:")&amp;C789)*86400,"")/VALUE(SUBSTITUTE(B789,"K","")),0),60),"00"),""))</f>
        <v/>
      </c>
      <c r="G789" s="21">
        <f>IF(A789="","",IF(COUNTIF(Atletas!$A$2:$A$302,A789)&gt;0,"Sí","No"))</f>
        <v/>
      </c>
    </row>
    <row r="790">
      <c r="A790" s="17" t="n"/>
      <c r="B790" s="17" t="n"/>
      <c r="C790" s="18" t="n"/>
      <c r="D790" s="19" t="n"/>
      <c r="E790" s="17" t="n"/>
      <c r="F790" s="21">
        <f>IF(OR(B790="",C790=""),"",IFERROR(INT(ROUND(IFERROR(TIMEVALUE(IF(LEN(C790)-LEN(SUBSTITUTE(C790,":",""))=2,"","0:")&amp;C790)*86400,"")/VALUE(SUBSTITUTE(B790,"K","")),0)/60)&amp;":"&amp;TEXT(MOD(ROUND(IFERROR(TIMEVALUE(IF(LEN(C790)-LEN(SUBSTITUTE(C790,":",""))=2,"","0:")&amp;C790)*86400,"")/VALUE(SUBSTITUTE(B790,"K","")),0),60),"00"),""))</f>
        <v/>
      </c>
      <c r="G790" s="21">
        <f>IF(A790="","",IF(COUNTIF(Atletas!$A$2:$A$302,A790)&gt;0,"Sí","No"))</f>
        <v/>
      </c>
    </row>
    <row r="791">
      <c r="A791" s="17" t="n"/>
      <c r="B791" s="17" t="n"/>
      <c r="C791" s="18" t="n"/>
      <c r="D791" s="19" t="n"/>
      <c r="E791" s="17" t="n"/>
      <c r="F791" s="21">
        <f>IF(OR(B791="",C791=""),"",IFERROR(INT(ROUND(IFERROR(TIMEVALUE(IF(LEN(C791)-LEN(SUBSTITUTE(C791,":",""))=2,"","0:")&amp;C791)*86400,"")/VALUE(SUBSTITUTE(B791,"K","")),0)/60)&amp;":"&amp;TEXT(MOD(ROUND(IFERROR(TIMEVALUE(IF(LEN(C791)-LEN(SUBSTITUTE(C791,":",""))=2,"","0:")&amp;C791)*86400,"")/VALUE(SUBSTITUTE(B791,"K","")),0),60),"00"),""))</f>
        <v/>
      </c>
      <c r="G791" s="21">
        <f>IF(A791="","",IF(COUNTIF(Atletas!$A$2:$A$302,A791)&gt;0,"Sí","No"))</f>
        <v/>
      </c>
    </row>
    <row r="792">
      <c r="A792" s="17" t="n"/>
      <c r="B792" s="17" t="n"/>
      <c r="C792" s="18" t="n"/>
      <c r="D792" s="19" t="n"/>
      <c r="E792" s="17" t="n"/>
      <c r="F792" s="21">
        <f>IF(OR(B792="",C792=""),"",IFERROR(INT(ROUND(IFERROR(TIMEVALUE(IF(LEN(C792)-LEN(SUBSTITUTE(C792,":",""))=2,"","0:")&amp;C792)*86400,"")/VALUE(SUBSTITUTE(B792,"K","")),0)/60)&amp;":"&amp;TEXT(MOD(ROUND(IFERROR(TIMEVALUE(IF(LEN(C792)-LEN(SUBSTITUTE(C792,":",""))=2,"","0:")&amp;C792)*86400,"")/VALUE(SUBSTITUTE(B792,"K","")),0),60),"00"),""))</f>
        <v/>
      </c>
      <c r="G792" s="21">
        <f>IF(A792="","",IF(COUNTIF(Atletas!$A$2:$A$302,A792)&gt;0,"Sí","No"))</f>
        <v/>
      </c>
    </row>
    <row r="793">
      <c r="A793" s="17" t="n"/>
      <c r="B793" s="17" t="n"/>
      <c r="C793" s="18" t="n"/>
      <c r="D793" s="19" t="n"/>
      <c r="E793" s="17" t="n"/>
      <c r="F793" s="21">
        <f>IF(OR(B793="",C793=""),"",IFERROR(INT(ROUND(IFERROR(TIMEVALUE(IF(LEN(C793)-LEN(SUBSTITUTE(C793,":",""))=2,"","0:")&amp;C793)*86400,"")/VALUE(SUBSTITUTE(B793,"K","")),0)/60)&amp;":"&amp;TEXT(MOD(ROUND(IFERROR(TIMEVALUE(IF(LEN(C793)-LEN(SUBSTITUTE(C793,":",""))=2,"","0:")&amp;C793)*86400,"")/VALUE(SUBSTITUTE(B793,"K","")),0),60),"00"),""))</f>
        <v/>
      </c>
      <c r="G793" s="21">
        <f>IF(A793="","",IF(COUNTIF(Atletas!$A$2:$A$302,A793)&gt;0,"Sí","No"))</f>
        <v/>
      </c>
    </row>
    <row r="794">
      <c r="A794" s="17" t="n"/>
      <c r="B794" s="17" t="n"/>
      <c r="C794" s="18" t="n"/>
      <c r="D794" s="19" t="n"/>
      <c r="E794" s="17" t="n"/>
      <c r="F794" s="21">
        <f>IF(OR(B794="",C794=""),"",IFERROR(INT(ROUND(IFERROR(TIMEVALUE(IF(LEN(C794)-LEN(SUBSTITUTE(C794,":",""))=2,"","0:")&amp;C794)*86400,"")/VALUE(SUBSTITUTE(B794,"K","")),0)/60)&amp;":"&amp;TEXT(MOD(ROUND(IFERROR(TIMEVALUE(IF(LEN(C794)-LEN(SUBSTITUTE(C794,":",""))=2,"","0:")&amp;C794)*86400,"")/VALUE(SUBSTITUTE(B794,"K","")),0),60),"00"),""))</f>
        <v/>
      </c>
      <c r="G794" s="21">
        <f>IF(A794="","",IF(COUNTIF(Atletas!$A$2:$A$302,A794)&gt;0,"Sí","No"))</f>
        <v/>
      </c>
    </row>
    <row r="795">
      <c r="A795" s="17" t="n"/>
      <c r="B795" s="17" t="n"/>
      <c r="C795" s="18" t="n"/>
      <c r="D795" s="19" t="n"/>
      <c r="E795" s="17" t="n"/>
      <c r="F795" s="21">
        <f>IF(OR(B795="",C795=""),"",IFERROR(INT(ROUND(IFERROR(TIMEVALUE(IF(LEN(C795)-LEN(SUBSTITUTE(C795,":",""))=2,"","0:")&amp;C795)*86400,"")/VALUE(SUBSTITUTE(B795,"K","")),0)/60)&amp;":"&amp;TEXT(MOD(ROUND(IFERROR(TIMEVALUE(IF(LEN(C795)-LEN(SUBSTITUTE(C795,":",""))=2,"","0:")&amp;C795)*86400,"")/VALUE(SUBSTITUTE(B795,"K","")),0),60),"00"),""))</f>
        <v/>
      </c>
      <c r="G795" s="21">
        <f>IF(A795="","",IF(COUNTIF(Atletas!$A$2:$A$302,A795)&gt;0,"Sí","No"))</f>
        <v/>
      </c>
    </row>
    <row r="796">
      <c r="A796" s="17" t="n"/>
      <c r="B796" s="17" t="n"/>
      <c r="C796" s="18" t="n"/>
      <c r="D796" s="19" t="n"/>
      <c r="E796" s="17" t="n"/>
      <c r="F796" s="21">
        <f>IF(OR(B796="",C796=""),"",IFERROR(INT(ROUND(IFERROR(TIMEVALUE(IF(LEN(C796)-LEN(SUBSTITUTE(C796,":",""))=2,"","0:")&amp;C796)*86400,"")/VALUE(SUBSTITUTE(B796,"K","")),0)/60)&amp;":"&amp;TEXT(MOD(ROUND(IFERROR(TIMEVALUE(IF(LEN(C796)-LEN(SUBSTITUTE(C796,":",""))=2,"","0:")&amp;C796)*86400,"")/VALUE(SUBSTITUTE(B796,"K","")),0),60),"00"),""))</f>
        <v/>
      </c>
      <c r="G796" s="21">
        <f>IF(A796="","",IF(COUNTIF(Atletas!$A$2:$A$302,A796)&gt;0,"Sí","No"))</f>
        <v/>
      </c>
    </row>
    <row r="797">
      <c r="A797" s="17" t="n"/>
      <c r="B797" s="17" t="n"/>
      <c r="C797" s="18" t="n"/>
      <c r="D797" s="19" t="n"/>
      <c r="E797" s="17" t="n"/>
      <c r="F797" s="21">
        <f>IF(OR(B797="",C797=""),"",IFERROR(INT(ROUND(IFERROR(TIMEVALUE(IF(LEN(C797)-LEN(SUBSTITUTE(C797,":",""))=2,"","0:")&amp;C797)*86400,"")/VALUE(SUBSTITUTE(B797,"K","")),0)/60)&amp;":"&amp;TEXT(MOD(ROUND(IFERROR(TIMEVALUE(IF(LEN(C797)-LEN(SUBSTITUTE(C797,":",""))=2,"","0:")&amp;C797)*86400,"")/VALUE(SUBSTITUTE(B797,"K","")),0),60),"00"),""))</f>
        <v/>
      </c>
      <c r="G797" s="21">
        <f>IF(A797="","",IF(COUNTIF(Atletas!$A$2:$A$302,A797)&gt;0,"Sí","No"))</f>
        <v/>
      </c>
    </row>
    <row r="798">
      <c r="A798" s="17" t="n"/>
      <c r="B798" s="17" t="n"/>
      <c r="C798" s="18" t="n"/>
      <c r="D798" s="19" t="n"/>
      <c r="E798" s="17" t="n"/>
      <c r="F798" s="21">
        <f>IF(OR(B798="",C798=""),"",IFERROR(INT(ROUND(IFERROR(TIMEVALUE(IF(LEN(C798)-LEN(SUBSTITUTE(C798,":",""))=2,"","0:")&amp;C798)*86400,"")/VALUE(SUBSTITUTE(B798,"K","")),0)/60)&amp;":"&amp;TEXT(MOD(ROUND(IFERROR(TIMEVALUE(IF(LEN(C798)-LEN(SUBSTITUTE(C798,":",""))=2,"","0:")&amp;C798)*86400,"")/VALUE(SUBSTITUTE(B798,"K","")),0),60),"00"),""))</f>
        <v/>
      </c>
      <c r="G798" s="21">
        <f>IF(A798="","",IF(COUNTIF(Atletas!$A$2:$A$302,A798)&gt;0,"Sí","No"))</f>
        <v/>
      </c>
    </row>
    <row r="799">
      <c r="A799" s="17" t="n"/>
      <c r="B799" s="17" t="n"/>
      <c r="C799" s="18" t="n"/>
      <c r="D799" s="19" t="n"/>
      <c r="E799" s="17" t="n"/>
      <c r="F799" s="21">
        <f>IF(OR(B799="",C799=""),"",IFERROR(INT(ROUND(IFERROR(TIMEVALUE(IF(LEN(C799)-LEN(SUBSTITUTE(C799,":",""))=2,"","0:")&amp;C799)*86400,"")/VALUE(SUBSTITUTE(B799,"K","")),0)/60)&amp;":"&amp;TEXT(MOD(ROUND(IFERROR(TIMEVALUE(IF(LEN(C799)-LEN(SUBSTITUTE(C799,":",""))=2,"","0:")&amp;C799)*86400,"")/VALUE(SUBSTITUTE(B799,"K","")),0),60),"00"),""))</f>
        <v/>
      </c>
      <c r="G799" s="21">
        <f>IF(A799="","",IF(COUNTIF(Atletas!$A$2:$A$302,A799)&gt;0,"Sí","No"))</f>
        <v/>
      </c>
    </row>
    <row r="800">
      <c r="A800" s="17" t="n"/>
      <c r="B800" s="17" t="n"/>
      <c r="C800" s="18" t="n"/>
      <c r="D800" s="19" t="n"/>
      <c r="E800" s="17" t="n"/>
      <c r="F800" s="21">
        <f>IF(OR(B800="",C800=""),"",IFERROR(INT(ROUND(IFERROR(TIMEVALUE(IF(LEN(C800)-LEN(SUBSTITUTE(C800,":",""))=2,"","0:")&amp;C800)*86400,"")/VALUE(SUBSTITUTE(B800,"K","")),0)/60)&amp;":"&amp;TEXT(MOD(ROUND(IFERROR(TIMEVALUE(IF(LEN(C800)-LEN(SUBSTITUTE(C800,":",""))=2,"","0:")&amp;C800)*86400,"")/VALUE(SUBSTITUTE(B800,"K","")),0),60),"00"),""))</f>
        <v/>
      </c>
      <c r="G800" s="21">
        <f>IF(A800="","",IF(COUNTIF(Atletas!$A$2:$A$302,A800)&gt;0,"Sí","No"))</f>
        <v/>
      </c>
    </row>
    <row r="801">
      <c r="A801" s="17" t="n"/>
      <c r="B801" s="17" t="n"/>
      <c r="C801" s="18" t="n"/>
      <c r="D801" s="19" t="n"/>
      <c r="E801" s="17" t="n"/>
      <c r="F801" s="21">
        <f>IF(OR(B801="",C801=""),"",IFERROR(INT(ROUND(IFERROR(TIMEVALUE(IF(LEN(C801)-LEN(SUBSTITUTE(C801,":",""))=2,"","0:")&amp;C801)*86400,"")/VALUE(SUBSTITUTE(B801,"K","")),0)/60)&amp;":"&amp;TEXT(MOD(ROUND(IFERROR(TIMEVALUE(IF(LEN(C801)-LEN(SUBSTITUTE(C801,":",""))=2,"","0:")&amp;C801)*86400,"")/VALUE(SUBSTITUTE(B801,"K","")),0),60),"00"),""))</f>
        <v/>
      </c>
      <c r="G801" s="21">
        <f>IF(A801="","",IF(COUNTIF(Atletas!$A$2:$A$302,A801)&gt;0,"Sí","No"))</f>
        <v/>
      </c>
    </row>
    <row r="802">
      <c r="A802" s="17" t="n"/>
      <c r="B802" s="17" t="n"/>
      <c r="C802" s="18" t="n"/>
      <c r="D802" s="19" t="n"/>
      <c r="E802" s="17" t="n"/>
      <c r="F802" s="21">
        <f>IF(OR(B802="",C802=""),"",IFERROR(INT(ROUND(IFERROR(TIMEVALUE(IF(LEN(C802)-LEN(SUBSTITUTE(C802,":",""))=2,"","0:")&amp;C802)*86400,"")/VALUE(SUBSTITUTE(B802,"K","")),0)/60)&amp;":"&amp;TEXT(MOD(ROUND(IFERROR(TIMEVALUE(IF(LEN(C802)-LEN(SUBSTITUTE(C802,":",""))=2,"","0:")&amp;C802)*86400,"")/VALUE(SUBSTITUTE(B802,"K","")),0),60),"00"),""))</f>
        <v/>
      </c>
      <c r="G802" s="21">
        <f>IF(A802="","",IF(COUNTIF(Atletas!$A$2:$A$302,A802)&gt;0,"Sí","No"))</f>
        <v/>
      </c>
    </row>
    <row r="803">
      <c r="A803" s="17" t="n"/>
      <c r="B803" s="17" t="n"/>
      <c r="C803" s="18" t="n"/>
      <c r="D803" s="19" t="n"/>
      <c r="E803" s="17" t="n"/>
      <c r="F803" s="21">
        <f>IF(OR(B803="",C803=""),"",IFERROR(INT(ROUND(IFERROR(TIMEVALUE(IF(LEN(C803)-LEN(SUBSTITUTE(C803,":",""))=2,"","0:")&amp;C803)*86400,"")/VALUE(SUBSTITUTE(B803,"K","")),0)/60)&amp;":"&amp;TEXT(MOD(ROUND(IFERROR(TIMEVALUE(IF(LEN(C803)-LEN(SUBSTITUTE(C803,":",""))=2,"","0:")&amp;C803)*86400,"")/VALUE(SUBSTITUTE(B803,"K","")),0),60),"00"),""))</f>
        <v/>
      </c>
      <c r="G803" s="21">
        <f>IF(A803="","",IF(COUNTIF(Atletas!$A$2:$A$302,A803)&gt;0,"Sí","No"))</f>
        <v/>
      </c>
    </row>
    <row r="804">
      <c r="A804" s="17" t="n"/>
      <c r="B804" s="17" t="n"/>
      <c r="C804" s="18" t="n"/>
      <c r="D804" s="19" t="n"/>
      <c r="E804" s="17" t="n"/>
      <c r="F804" s="21">
        <f>IF(OR(B804="",C804=""),"",IFERROR(INT(ROUND(IFERROR(TIMEVALUE(IF(LEN(C804)-LEN(SUBSTITUTE(C804,":",""))=2,"","0:")&amp;C804)*86400,"")/VALUE(SUBSTITUTE(B804,"K","")),0)/60)&amp;":"&amp;TEXT(MOD(ROUND(IFERROR(TIMEVALUE(IF(LEN(C804)-LEN(SUBSTITUTE(C804,":",""))=2,"","0:")&amp;C804)*86400,"")/VALUE(SUBSTITUTE(B804,"K","")),0),60),"00"),""))</f>
        <v/>
      </c>
      <c r="G804" s="21">
        <f>IF(A804="","",IF(COUNTIF(Atletas!$A$2:$A$302,A804)&gt;0,"Sí","No"))</f>
        <v/>
      </c>
    </row>
    <row r="805">
      <c r="A805" s="17" t="n"/>
      <c r="B805" s="17" t="n"/>
      <c r="C805" s="18" t="n"/>
      <c r="D805" s="19" t="n"/>
      <c r="E805" s="17" t="n"/>
      <c r="F805" s="21">
        <f>IF(OR(B805="",C805=""),"",IFERROR(INT(ROUND(IFERROR(TIMEVALUE(IF(LEN(C805)-LEN(SUBSTITUTE(C805,":",""))=2,"","0:")&amp;C805)*86400,"")/VALUE(SUBSTITUTE(B805,"K","")),0)/60)&amp;":"&amp;TEXT(MOD(ROUND(IFERROR(TIMEVALUE(IF(LEN(C805)-LEN(SUBSTITUTE(C805,":",""))=2,"","0:")&amp;C805)*86400,"")/VALUE(SUBSTITUTE(B805,"K","")),0),60),"00"),""))</f>
        <v/>
      </c>
      <c r="G805" s="21">
        <f>IF(A805="","",IF(COUNTIF(Atletas!$A$2:$A$302,A805)&gt;0,"Sí","No"))</f>
        <v/>
      </c>
    </row>
    <row r="806">
      <c r="A806" s="17" t="n"/>
      <c r="B806" s="17" t="n"/>
      <c r="C806" s="18" t="n"/>
      <c r="D806" s="19" t="n"/>
      <c r="E806" s="17" t="n"/>
      <c r="F806" s="21">
        <f>IF(OR(B806="",C806=""),"",IFERROR(INT(ROUND(IFERROR(TIMEVALUE(IF(LEN(C806)-LEN(SUBSTITUTE(C806,":",""))=2,"","0:")&amp;C806)*86400,"")/VALUE(SUBSTITUTE(B806,"K","")),0)/60)&amp;":"&amp;TEXT(MOD(ROUND(IFERROR(TIMEVALUE(IF(LEN(C806)-LEN(SUBSTITUTE(C806,":",""))=2,"","0:")&amp;C806)*86400,"")/VALUE(SUBSTITUTE(B806,"K","")),0),60),"00"),""))</f>
        <v/>
      </c>
      <c r="G806" s="21">
        <f>IF(A806="","",IF(COUNTIF(Atletas!$A$2:$A$302,A806)&gt;0,"Sí","No"))</f>
        <v/>
      </c>
    </row>
    <row r="807">
      <c r="A807" s="17" t="n"/>
      <c r="B807" s="17" t="n"/>
      <c r="C807" s="18" t="n"/>
      <c r="D807" s="19" t="n"/>
      <c r="E807" s="17" t="n"/>
      <c r="F807" s="21">
        <f>IF(OR(B807="",C807=""),"",IFERROR(INT(ROUND(IFERROR(TIMEVALUE(IF(LEN(C807)-LEN(SUBSTITUTE(C807,":",""))=2,"","0:")&amp;C807)*86400,"")/VALUE(SUBSTITUTE(B807,"K","")),0)/60)&amp;":"&amp;TEXT(MOD(ROUND(IFERROR(TIMEVALUE(IF(LEN(C807)-LEN(SUBSTITUTE(C807,":",""))=2,"","0:")&amp;C807)*86400,"")/VALUE(SUBSTITUTE(B807,"K","")),0),60),"00"),""))</f>
        <v/>
      </c>
      <c r="G807" s="21">
        <f>IF(A807="","",IF(COUNTIF(Atletas!$A$2:$A$302,A807)&gt;0,"Sí","No"))</f>
        <v/>
      </c>
    </row>
    <row r="808">
      <c r="A808" s="17" t="n"/>
      <c r="B808" s="17" t="n"/>
      <c r="C808" s="18" t="n"/>
      <c r="D808" s="19" t="n"/>
      <c r="E808" s="17" t="n"/>
      <c r="F808" s="21">
        <f>IF(OR(B808="",C808=""),"",IFERROR(INT(ROUND(IFERROR(TIMEVALUE(IF(LEN(C808)-LEN(SUBSTITUTE(C808,":",""))=2,"","0:")&amp;C808)*86400,"")/VALUE(SUBSTITUTE(B808,"K","")),0)/60)&amp;":"&amp;TEXT(MOD(ROUND(IFERROR(TIMEVALUE(IF(LEN(C808)-LEN(SUBSTITUTE(C808,":",""))=2,"","0:")&amp;C808)*86400,"")/VALUE(SUBSTITUTE(B808,"K","")),0),60),"00"),""))</f>
        <v/>
      </c>
      <c r="G808" s="21">
        <f>IF(A808="","",IF(COUNTIF(Atletas!$A$2:$A$302,A808)&gt;0,"Sí","No"))</f>
        <v/>
      </c>
    </row>
    <row r="809">
      <c r="A809" s="17" t="n"/>
      <c r="B809" s="17" t="n"/>
      <c r="C809" s="18" t="n"/>
      <c r="D809" s="19" t="n"/>
      <c r="E809" s="17" t="n"/>
      <c r="F809" s="21">
        <f>IF(OR(B809="",C809=""),"",IFERROR(INT(ROUND(IFERROR(TIMEVALUE(IF(LEN(C809)-LEN(SUBSTITUTE(C809,":",""))=2,"","0:")&amp;C809)*86400,"")/VALUE(SUBSTITUTE(B809,"K","")),0)/60)&amp;":"&amp;TEXT(MOD(ROUND(IFERROR(TIMEVALUE(IF(LEN(C809)-LEN(SUBSTITUTE(C809,":",""))=2,"","0:")&amp;C809)*86400,"")/VALUE(SUBSTITUTE(B809,"K","")),0),60),"00"),""))</f>
        <v/>
      </c>
      <c r="G809" s="21">
        <f>IF(A809="","",IF(COUNTIF(Atletas!$A$2:$A$302,A809)&gt;0,"Sí","No"))</f>
        <v/>
      </c>
    </row>
    <row r="810">
      <c r="A810" s="17" t="n"/>
      <c r="B810" s="17" t="n"/>
      <c r="C810" s="18" t="n"/>
      <c r="D810" s="19" t="n"/>
      <c r="E810" s="17" t="n"/>
      <c r="F810" s="21">
        <f>IF(OR(B810="",C810=""),"",IFERROR(INT(ROUND(IFERROR(TIMEVALUE(IF(LEN(C810)-LEN(SUBSTITUTE(C810,":",""))=2,"","0:")&amp;C810)*86400,"")/VALUE(SUBSTITUTE(B810,"K","")),0)/60)&amp;":"&amp;TEXT(MOD(ROUND(IFERROR(TIMEVALUE(IF(LEN(C810)-LEN(SUBSTITUTE(C810,":",""))=2,"","0:")&amp;C810)*86400,"")/VALUE(SUBSTITUTE(B810,"K","")),0),60),"00"),""))</f>
        <v/>
      </c>
      <c r="G810" s="21">
        <f>IF(A810="","",IF(COUNTIF(Atletas!$A$2:$A$302,A810)&gt;0,"Sí","No"))</f>
        <v/>
      </c>
    </row>
    <row r="811">
      <c r="A811" s="17" t="n"/>
      <c r="B811" s="17" t="n"/>
      <c r="C811" s="18" t="n"/>
      <c r="D811" s="19" t="n"/>
      <c r="E811" s="17" t="n"/>
      <c r="F811" s="21">
        <f>IF(OR(B811="",C811=""),"",IFERROR(INT(ROUND(IFERROR(TIMEVALUE(IF(LEN(C811)-LEN(SUBSTITUTE(C811,":",""))=2,"","0:")&amp;C811)*86400,"")/VALUE(SUBSTITUTE(B811,"K","")),0)/60)&amp;":"&amp;TEXT(MOD(ROUND(IFERROR(TIMEVALUE(IF(LEN(C811)-LEN(SUBSTITUTE(C811,":",""))=2,"","0:")&amp;C811)*86400,"")/VALUE(SUBSTITUTE(B811,"K","")),0),60),"00"),""))</f>
        <v/>
      </c>
      <c r="G811" s="21">
        <f>IF(A811="","",IF(COUNTIF(Atletas!$A$2:$A$302,A811)&gt;0,"Sí","No"))</f>
        <v/>
      </c>
    </row>
    <row r="812">
      <c r="A812" s="17" t="n"/>
      <c r="B812" s="17" t="n"/>
      <c r="C812" s="18" t="n"/>
      <c r="D812" s="19" t="n"/>
      <c r="E812" s="17" t="n"/>
      <c r="F812" s="21">
        <f>IF(OR(B812="",C812=""),"",IFERROR(INT(ROUND(IFERROR(TIMEVALUE(IF(LEN(C812)-LEN(SUBSTITUTE(C812,":",""))=2,"","0:")&amp;C812)*86400,"")/VALUE(SUBSTITUTE(B812,"K","")),0)/60)&amp;":"&amp;TEXT(MOD(ROUND(IFERROR(TIMEVALUE(IF(LEN(C812)-LEN(SUBSTITUTE(C812,":",""))=2,"","0:")&amp;C812)*86400,"")/VALUE(SUBSTITUTE(B812,"K","")),0),60),"00"),""))</f>
        <v/>
      </c>
      <c r="G812" s="21">
        <f>IF(A812="","",IF(COUNTIF(Atletas!$A$2:$A$302,A812)&gt;0,"Sí","No"))</f>
        <v/>
      </c>
    </row>
    <row r="813">
      <c r="A813" s="17" t="n"/>
      <c r="B813" s="17" t="n"/>
      <c r="C813" s="18" t="n"/>
      <c r="D813" s="19" t="n"/>
      <c r="E813" s="17" t="n"/>
      <c r="F813" s="21">
        <f>IF(OR(B813="",C813=""),"",IFERROR(INT(ROUND(IFERROR(TIMEVALUE(IF(LEN(C813)-LEN(SUBSTITUTE(C813,":",""))=2,"","0:")&amp;C813)*86400,"")/VALUE(SUBSTITUTE(B813,"K","")),0)/60)&amp;":"&amp;TEXT(MOD(ROUND(IFERROR(TIMEVALUE(IF(LEN(C813)-LEN(SUBSTITUTE(C813,":",""))=2,"","0:")&amp;C813)*86400,"")/VALUE(SUBSTITUTE(B813,"K","")),0),60),"00"),""))</f>
        <v/>
      </c>
      <c r="G813" s="21">
        <f>IF(A813="","",IF(COUNTIF(Atletas!$A$2:$A$302,A813)&gt;0,"Sí","No"))</f>
        <v/>
      </c>
    </row>
    <row r="814">
      <c r="A814" s="17" t="n"/>
      <c r="B814" s="17" t="n"/>
      <c r="C814" s="18" t="n"/>
      <c r="D814" s="19" t="n"/>
      <c r="E814" s="17" t="n"/>
      <c r="F814" s="21">
        <f>IF(OR(B814="",C814=""),"",IFERROR(INT(ROUND(IFERROR(TIMEVALUE(IF(LEN(C814)-LEN(SUBSTITUTE(C814,":",""))=2,"","0:")&amp;C814)*86400,"")/VALUE(SUBSTITUTE(B814,"K","")),0)/60)&amp;":"&amp;TEXT(MOD(ROUND(IFERROR(TIMEVALUE(IF(LEN(C814)-LEN(SUBSTITUTE(C814,":",""))=2,"","0:")&amp;C814)*86400,"")/VALUE(SUBSTITUTE(B814,"K","")),0),60),"00"),""))</f>
        <v/>
      </c>
      <c r="G814" s="21">
        <f>IF(A814="","",IF(COUNTIF(Atletas!$A$2:$A$302,A814)&gt;0,"Sí","No"))</f>
        <v/>
      </c>
    </row>
    <row r="815">
      <c r="A815" s="17" t="n"/>
      <c r="B815" s="17" t="n"/>
      <c r="C815" s="18" t="n"/>
      <c r="D815" s="19" t="n"/>
      <c r="E815" s="17" t="n"/>
      <c r="F815" s="21">
        <f>IF(OR(B815="",C815=""),"",IFERROR(INT(ROUND(IFERROR(TIMEVALUE(IF(LEN(C815)-LEN(SUBSTITUTE(C815,":",""))=2,"","0:")&amp;C815)*86400,"")/VALUE(SUBSTITUTE(B815,"K","")),0)/60)&amp;":"&amp;TEXT(MOD(ROUND(IFERROR(TIMEVALUE(IF(LEN(C815)-LEN(SUBSTITUTE(C815,":",""))=2,"","0:")&amp;C815)*86400,"")/VALUE(SUBSTITUTE(B815,"K","")),0),60),"00"),""))</f>
        <v/>
      </c>
      <c r="G815" s="21">
        <f>IF(A815="","",IF(COUNTIF(Atletas!$A$2:$A$302,A815)&gt;0,"Sí","No"))</f>
        <v/>
      </c>
    </row>
    <row r="816">
      <c r="A816" s="17" t="n"/>
      <c r="B816" s="17" t="n"/>
      <c r="C816" s="18" t="n"/>
      <c r="D816" s="19" t="n"/>
      <c r="E816" s="17" t="n"/>
      <c r="F816" s="21">
        <f>IF(OR(B816="",C816=""),"",IFERROR(INT(ROUND(IFERROR(TIMEVALUE(IF(LEN(C816)-LEN(SUBSTITUTE(C816,":",""))=2,"","0:")&amp;C816)*86400,"")/VALUE(SUBSTITUTE(B816,"K","")),0)/60)&amp;":"&amp;TEXT(MOD(ROUND(IFERROR(TIMEVALUE(IF(LEN(C816)-LEN(SUBSTITUTE(C816,":",""))=2,"","0:")&amp;C816)*86400,"")/VALUE(SUBSTITUTE(B816,"K","")),0),60),"00"),""))</f>
        <v/>
      </c>
      <c r="G816" s="21">
        <f>IF(A816="","",IF(COUNTIF(Atletas!$A$2:$A$302,A816)&gt;0,"Sí","No"))</f>
        <v/>
      </c>
    </row>
    <row r="817">
      <c r="A817" s="17" t="n"/>
      <c r="B817" s="17" t="n"/>
      <c r="C817" s="18" t="n"/>
      <c r="D817" s="19" t="n"/>
      <c r="E817" s="17" t="n"/>
      <c r="F817" s="21">
        <f>IF(OR(B817="",C817=""),"",IFERROR(INT(ROUND(IFERROR(TIMEVALUE(IF(LEN(C817)-LEN(SUBSTITUTE(C817,":",""))=2,"","0:")&amp;C817)*86400,"")/VALUE(SUBSTITUTE(B817,"K","")),0)/60)&amp;":"&amp;TEXT(MOD(ROUND(IFERROR(TIMEVALUE(IF(LEN(C817)-LEN(SUBSTITUTE(C817,":",""))=2,"","0:")&amp;C817)*86400,"")/VALUE(SUBSTITUTE(B817,"K","")),0),60),"00"),""))</f>
        <v/>
      </c>
      <c r="G817" s="21">
        <f>IF(A817="","",IF(COUNTIF(Atletas!$A$2:$A$302,A817)&gt;0,"Sí","No"))</f>
        <v/>
      </c>
    </row>
    <row r="818">
      <c r="A818" s="17" t="n"/>
      <c r="B818" s="17" t="n"/>
      <c r="C818" s="18" t="n"/>
      <c r="D818" s="19" t="n"/>
      <c r="E818" s="17" t="n"/>
      <c r="F818" s="21">
        <f>IF(OR(B818="",C818=""),"",IFERROR(INT(ROUND(IFERROR(TIMEVALUE(IF(LEN(C818)-LEN(SUBSTITUTE(C818,":",""))=2,"","0:")&amp;C818)*86400,"")/VALUE(SUBSTITUTE(B818,"K","")),0)/60)&amp;":"&amp;TEXT(MOD(ROUND(IFERROR(TIMEVALUE(IF(LEN(C818)-LEN(SUBSTITUTE(C818,":",""))=2,"","0:")&amp;C818)*86400,"")/VALUE(SUBSTITUTE(B818,"K","")),0),60),"00"),""))</f>
        <v/>
      </c>
      <c r="G818" s="21">
        <f>IF(A818="","",IF(COUNTIF(Atletas!$A$2:$A$302,A818)&gt;0,"Sí","No"))</f>
        <v/>
      </c>
    </row>
    <row r="819">
      <c r="A819" s="17" t="n"/>
      <c r="B819" s="17" t="n"/>
      <c r="C819" s="18" t="n"/>
      <c r="D819" s="19" t="n"/>
      <c r="E819" s="17" t="n"/>
      <c r="F819" s="21">
        <f>IF(OR(B819="",C819=""),"",IFERROR(INT(ROUND(IFERROR(TIMEVALUE(IF(LEN(C819)-LEN(SUBSTITUTE(C819,":",""))=2,"","0:")&amp;C819)*86400,"")/VALUE(SUBSTITUTE(B819,"K","")),0)/60)&amp;":"&amp;TEXT(MOD(ROUND(IFERROR(TIMEVALUE(IF(LEN(C819)-LEN(SUBSTITUTE(C819,":",""))=2,"","0:")&amp;C819)*86400,"")/VALUE(SUBSTITUTE(B819,"K","")),0),60),"00"),""))</f>
        <v/>
      </c>
      <c r="G819" s="21">
        <f>IF(A819="","",IF(COUNTIF(Atletas!$A$2:$A$302,A819)&gt;0,"Sí","No"))</f>
        <v/>
      </c>
    </row>
    <row r="820">
      <c r="A820" s="17" t="n"/>
      <c r="B820" s="17" t="n"/>
      <c r="C820" s="18" t="n"/>
      <c r="D820" s="19" t="n"/>
      <c r="E820" s="17" t="n"/>
      <c r="F820" s="21">
        <f>IF(OR(B820="",C820=""),"",IFERROR(INT(ROUND(IFERROR(TIMEVALUE(IF(LEN(C820)-LEN(SUBSTITUTE(C820,":",""))=2,"","0:")&amp;C820)*86400,"")/VALUE(SUBSTITUTE(B820,"K","")),0)/60)&amp;":"&amp;TEXT(MOD(ROUND(IFERROR(TIMEVALUE(IF(LEN(C820)-LEN(SUBSTITUTE(C820,":",""))=2,"","0:")&amp;C820)*86400,"")/VALUE(SUBSTITUTE(B820,"K","")),0),60),"00"),""))</f>
        <v/>
      </c>
      <c r="G820" s="21">
        <f>IF(A820="","",IF(COUNTIF(Atletas!$A$2:$A$302,A820)&gt;0,"Sí","No"))</f>
        <v/>
      </c>
    </row>
    <row r="821">
      <c r="A821" s="17" t="n"/>
      <c r="B821" s="17" t="n"/>
      <c r="C821" s="18" t="n"/>
      <c r="D821" s="19" t="n"/>
      <c r="E821" s="17" t="n"/>
      <c r="F821" s="21">
        <f>IF(OR(B821="",C821=""),"",IFERROR(INT(ROUND(IFERROR(TIMEVALUE(IF(LEN(C821)-LEN(SUBSTITUTE(C821,":",""))=2,"","0:")&amp;C821)*86400,"")/VALUE(SUBSTITUTE(B821,"K","")),0)/60)&amp;":"&amp;TEXT(MOD(ROUND(IFERROR(TIMEVALUE(IF(LEN(C821)-LEN(SUBSTITUTE(C821,":",""))=2,"","0:")&amp;C821)*86400,"")/VALUE(SUBSTITUTE(B821,"K","")),0),60),"00"),""))</f>
        <v/>
      </c>
      <c r="G821" s="21">
        <f>IF(A821="","",IF(COUNTIF(Atletas!$A$2:$A$302,A821)&gt;0,"Sí","No"))</f>
        <v/>
      </c>
    </row>
    <row r="822">
      <c r="A822" s="17" t="n"/>
      <c r="B822" s="17" t="n"/>
      <c r="C822" s="18" t="n"/>
      <c r="D822" s="19" t="n"/>
      <c r="E822" s="17" t="n"/>
      <c r="F822" s="21">
        <f>IF(OR(B822="",C822=""),"",IFERROR(INT(ROUND(IFERROR(TIMEVALUE(IF(LEN(C822)-LEN(SUBSTITUTE(C822,":",""))=2,"","0:")&amp;C822)*86400,"")/VALUE(SUBSTITUTE(B822,"K","")),0)/60)&amp;":"&amp;TEXT(MOD(ROUND(IFERROR(TIMEVALUE(IF(LEN(C822)-LEN(SUBSTITUTE(C822,":",""))=2,"","0:")&amp;C822)*86400,"")/VALUE(SUBSTITUTE(B822,"K","")),0),60),"00"),""))</f>
        <v/>
      </c>
      <c r="G822" s="21">
        <f>IF(A822="","",IF(COUNTIF(Atletas!$A$2:$A$302,A822)&gt;0,"Sí","No"))</f>
        <v/>
      </c>
    </row>
    <row r="823">
      <c r="A823" s="17" t="n"/>
      <c r="B823" s="17" t="n"/>
      <c r="C823" s="18" t="n"/>
      <c r="D823" s="19" t="n"/>
      <c r="E823" s="17" t="n"/>
      <c r="F823" s="21">
        <f>IF(OR(B823="",C823=""),"",IFERROR(INT(ROUND(IFERROR(TIMEVALUE(IF(LEN(C823)-LEN(SUBSTITUTE(C823,":",""))=2,"","0:")&amp;C823)*86400,"")/VALUE(SUBSTITUTE(B823,"K","")),0)/60)&amp;":"&amp;TEXT(MOD(ROUND(IFERROR(TIMEVALUE(IF(LEN(C823)-LEN(SUBSTITUTE(C823,":",""))=2,"","0:")&amp;C823)*86400,"")/VALUE(SUBSTITUTE(B823,"K","")),0),60),"00"),""))</f>
        <v/>
      </c>
      <c r="G823" s="21">
        <f>IF(A823="","",IF(COUNTIF(Atletas!$A$2:$A$302,A823)&gt;0,"Sí","No"))</f>
        <v/>
      </c>
    </row>
    <row r="824">
      <c r="A824" s="17" t="n"/>
      <c r="B824" s="17" t="n"/>
      <c r="C824" s="18" t="n"/>
      <c r="D824" s="19" t="n"/>
      <c r="E824" s="17" t="n"/>
      <c r="F824" s="21">
        <f>IF(OR(B824="",C824=""),"",IFERROR(INT(ROUND(IFERROR(TIMEVALUE(IF(LEN(C824)-LEN(SUBSTITUTE(C824,":",""))=2,"","0:")&amp;C824)*86400,"")/VALUE(SUBSTITUTE(B824,"K","")),0)/60)&amp;":"&amp;TEXT(MOD(ROUND(IFERROR(TIMEVALUE(IF(LEN(C824)-LEN(SUBSTITUTE(C824,":",""))=2,"","0:")&amp;C824)*86400,"")/VALUE(SUBSTITUTE(B824,"K","")),0),60),"00"),""))</f>
        <v/>
      </c>
      <c r="G824" s="21">
        <f>IF(A824="","",IF(COUNTIF(Atletas!$A$2:$A$302,A824)&gt;0,"Sí","No"))</f>
        <v/>
      </c>
    </row>
    <row r="825">
      <c r="A825" s="17" t="n"/>
      <c r="B825" s="17" t="n"/>
      <c r="C825" s="18" t="n"/>
      <c r="D825" s="19" t="n"/>
      <c r="E825" s="17" t="n"/>
      <c r="F825" s="21">
        <f>IF(OR(B825="",C825=""),"",IFERROR(INT(ROUND(IFERROR(TIMEVALUE(IF(LEN(C825)-LEN(SUBSTITUTE(C825,":",""))=2,"","0:")&amp;C825)*86400,"")/VALUE(SUBSTITUTE(B825,"K","")),0)/60)&amp;":"&amp;TEXT(MOD(ROUND(IFERROR(TIMEVALUE(IF(LEN(C825)-LEN(SUBSTITUTE(C825,":",""))=2,"","0:")&amp;C825)*86400,"")/VALUE(SUBSTITUTE(B825,"K","")),0),60),"00"),""))</f>
        <v/>
      </c>
      <c r="G825" s="21">
        <f>IF(A825="","",IF(COUNTIF(Atletas!$A$2:$A$302,A825)&gt;0,"Sí","No"))</f>
        <v/>
      </c>
    </row>
    <row r="826">
      <c r="A826" s="17" t="n"/>
      <c r="B826" s="17" t="n"/>
      <c r="C826" s="18" t="n"/>
      <c r="D826" s="19" t="n"/>
      <c r="E826" s="17" t="n"/>
      <c r="F826" s="21">
        <f>IF(OR(B826="",C826=""),"",IFERROR(INT(ROUND(IFERROR(TIMEVALUE(IF(LEN(C826)-LEN(SUBSTITUTE(C826,":",""))=2,"","0:")&amp;C826)*86400,"")/VALUE(SUBSTITUTE(B826,"K","")),0)/60)&amp;":"&amp;TEXT(MOD(ROUND(IFERROR(TIMEVALUE(IF(LEN(C826)-LEN(SUBSTITUTE(C826,":",""))=2,"","0:")&amp;C826)*86400,"")/VALUE(SUBSTITUTE(B826,"K","")),0),60),"00"),""))</f>
        <v/>
      </c>
      <c r="G826" s="21">
        <f>IF(A826="","",IF(COUNTIF(Atletas!$A$2:$A$302,A826)&gt;0,"Sí","No"))</f>
        <v/>
      </c>
    </row>
    <row r="827">
      <c r="A827" s="17" t="n"/>
      <c r="B827" s="17" t="n"/>
      <c r="C827" s="18" t="n"/>
      <c r="D827" s="19" t="n"/>
      <c r="E827" s="17" t="n"/>
      <c r="F827" s="21">
        <f>IF(OR(B827="",C827=""),"",IFERROR(INT(ROUND(IFERROR(TIMEVALUE(IF(LEN(C827)-LEN(SUBSTITUTE(C827,":",""))=2,"","0:")&amp;C827)*86400,"")/VALUE(SUBSTITUTE(B827,"K","")),0)/60)&amp;":"&amp;TEXT(MOD(ROUND(IFERROR(TIMEVALUE(IF(LEN(C827)-LEN(SUBSTITUTE(C827,":",""))=2,"","0:")&amp;C827)*86400,"")/VALUE(SUBSTITUTE(B827,"K","")),0),60),"00"),""))</f>
        <v/>
      </c>
      <c r="G827" s="21">
        <f>IF(A827="","",IF(COUNTIF(Atletas!$A$2:$A$302,A827)&gt;0,"Sí","No"))</f>
        <v/>
      </c>
    </row>
    <row r="828">
      <c r="A828" s="17" t="n"/>
      <c r="B828" s="17" t="n"/>
      <c r="C828" s="18" t="n"/>
      <c r="D828" s="19" t="n"/>
      <c r="E828" s="17" t="n"/>
      <c r="F828" s="21">
        <f>IF(OR(B828="",C828=""),"",IFERROR(INT(ROUND(IFERROR(TIMEVALUE(IF(LEN(C828)-LEN(SUBSTITUTE(C828,":",""))=2,"","0:")&amp;C828)*86400,"")/VALUE(SUBSTITUTE(B828,"K","")),0)/60)&amp;":"&amp;TEXT(MOD(ROUND(IFERROR(TIMEVALUE(IF(LEN(C828)-LEN(SUBSTITUTE(C828,":",""))=2,"","0:")&amp;C828)*86400,"")/VALUE(SUBSTITUTE(B828,"K","")),0),60),"00"),""))</f>
        <v/>
      </c>
      <c r="G828" s="21">
        <f>IF(A828="","",IF(COUNTIF(Atletas!$A$2:$A$302,A828)&gt;0,"Sí","No"))</f>
        <v/>
      </c>
    </row>
    <row r="829">
      <c r="A829" s="17" t="n"/>
      <c r="B829" s="17" t="n"/>
      <c r="C829" s="18" t="n"/>
      <c r="D829" s="19" t="n"/>
      <c r="E829" s="17" t="n"/>
      <c r="F829" s="21">
        <f>IF(OR(B829="",C829=""),"",IFERROR(INT(ROUND(IFERROR(TIMEVALUE(IF(LEN(C829)-LEN(SUBSTITUTE(C829,":",""))=2,"","0:")&amp;C829)*86400,"")/VALUE(SUBSTITUTE(B829,"K","")),0)/60)&amp;":"&amp;TEXT(MOD(ROUND(IFERROR(TIMEVALUE(IF(LEN(C829)-LEN(SUBSTITUTE(C829,":",""))=2,"","0:")&amp;C829)*86400,"")/VALUE(SUBSTITUTE(B829,"K","")),0),60),"00"),""))</f>
        <v/>
      </c>
      <c r="G829" s="21">
        <f>IF(A829="","",IF(COUNTIF(Atletas!$A$2:$A$302,A829)&gt;0,"Sí","No"))</f>
        <v/>
      </c>
    </row>
    <row r="830">
      <c r="A830" s="17" t="n"/>
      <c r="B830" s="17" t="n"/>
      <c r="C830" s="18" t="n"/>
      <c r="D830" s="19" t="n"/>
      <c r="E830" s="17" t="n"/>
      <c r="F830" s="21">
        <f>IF(OR(B830="",C830=""),"",IFERROR(INT(ROUND(IFERROR(TIMEVALUE(IF(LEN(C830)-LEN(SUBSTITUTE(C830,":",""))=2,"","0:")&amp;C830)*86400,"")/VALUE(SUBSTITUTE(B830,"K","")),0)/60)&amp;":"&amp;TEXT(MOD(ROUND(IFERROR(TIMEVALUE(IF(LEN(C830)-LEN(SUBSTITUTE(C830,":",""))=2,"","0:")&amp;C830)*86400,"")/VALUE(SUBSTITUTE(B830,"K","")),0),60),"00"),""))</f>
        <v/>
      </c>
      <c r="G830" s="21">
        <f>IF(A830="","",IF(COUNTIF(Atletas!$A$2:$A$302,A830)&gt;0,"Sí","No"))</f>
        <v/>
      </c>
    </row>
    <row r="831">
      <c r="A831" s="17" t="n"/>
      <c r="B831" s="17" t="n"/>
      <c r="C831" s="18" t="n"/>
      <c r="D831" s="19" t="n"/>
      <c r="E831" s="17" t="n"/>
      <c r="F831" s="21">
        <f>IF(OR(B831="",C831=""),"",IFERROR(INT(ROUND(IFERROR(TIMEVALUE(IF(LEN(C831)-LEN(SUBSTITUTE(C831,":",""))=2,"","0:")&amp;C831)*86400,"")/VALUE(SUBSTITUTE(B831,"K","")),0)/60)&amp;":"&amp;TEXT(MOD(ROUND(IFERROR(TIMEVALUE(IF(LEN(C831)-LEN(SUBSTITUTE(C831,":",""))=2,"","0:")&amp;C831)*86400,"")/VALUE(SUBSTITUTE(B831,"K","")),0),60),"00"),""))</f>
        <v/>
      </c>
      <c r="G831" s="21">
        <f>IF(A831="","",IF(COUNTIF(Atletas!$A$2:$A$302,A831)&gt;0,"Sí","No"))</f>
        <v/>
      </c>
    </row>
    <row r="832">
      <c r="A832" s="17" t="n"/>
      <c r="B832" s="17" t="n"/>
      <c r="C832" s="18" t="n"/>
      <c r="D832" s="19" t="n"/>
      <c r="E832" s="17" t="n"/>
      <c r="F832" s="21">
        <f>IF(OR(B832="",C832=""),"",IFERROR(INT(ROUND(IFERROR(TIMEVALUE(IF(LEN(C832)-LEN(SUBSTITUTE(C832,":",""))=2,"","0:")&amp;C832)*86400,"")/VALUE(SUBSTITUTE(B832,"K","")),0)/60)&amp;":"&amp;TEXT(MOD(ROUND(IFERROR(TIMEVALUE(IF(LEN(C832)-LEN(SUBSTITUTE(C832,":",""))=2,"","0:")&amp;C832)*86400,"")/VALUE(SUBSTITUTE(B832,"K","")),0),60),"00"),""))</f>
        <v/>
      </c>
      <c r="G832" s="21">
        <f>IF(A832="","",IF(COUNTIF(Atletas!$A$2:$A$302,A832)&gt;0,"Sí","No"))</f>
        <v/>
      </c>
    </row>
    <row r="833">
      <c r="A833" s="17" t="n"/>
      <c r="B833" s="17" t="n"/>
      <c r="C833" s="18" t="n"/>
      <c r="D833" s="19" t="n"/>
      <c r="E833" s="17" t="n"/>
      <c r="F833" s="21">
        <f>IF(OR(B833="",C833=""),"",IFERROR(INT(ROUND(IFERROR(TIMEVALUE(IF(LEN(C833)-LEN(SUBSTITUTE(C833,":",""))=2,"","0:")&amp;C833)*86400,"")/VALUE(SUBSTITUTE(B833,"K","")),0)/60)&amp;":"&amp;TEXT(MOD(ROUND(IFERROR(TIMEVALUE(IF(LEN(C833)-LEN(SUBSTITUTE(C833,":",""))=2,"","0:")&amp;C833)*86400,"")/VALUE(SUBSTITUTE(B833,"K","")),0),60),"00"),""))</f>
        <v/>
      </c>
      <c r="G833" s="21">
        <f>IF(A833="","",IF(COUNTIF(Atletas!$A$2:$A$302,A833)&gt;0,"Sí","No"))</f>
        <v/>
      </c>
    </row>
    <row r="834">
      <c r="A834" s="17" t="n"/>
      <c r="B834" s="17" t="n"/>
      <c r="C834" s="18" t="n"/>
      <c r="D834" s="19" t="n"/>
      <c r="E834" s="17" t="n"/>
      <c r="F834" s="21">
        <f>IF(OR(B834="",C834=""),"",IFERROR(INT(ROUND(IFERROR(TIMEVALUE(IF(LEN(C834)-LEN(SUBSTITUTE(C834,":",""))=2,"","0:")&amp;C834)*86400,"")/VALUE(SUBSTITUTE(B834,"K","")),0)/60)&amp;":"&amp;TEXT(MOD(ROUND(IFERROR(TIMEVALUE(IF(LEN(C834)-LEN(SUBSTITUTE(C834,":",""))=2,"","0:")&amp;C834)*86400,"")/VALUE(SUBSTITUTE(B834,"K","")),0),60),"00"),""))</f>
        <v/>
      </c>
      <c r="G834" s="21">
        <f>IF(A834="","",IF(COUNTIF(Atletas!$A$2:$A$302,A834)&gt;0,"Sí","No"))</f>
        <v/>
      </c>
    </row>
    <row r="835">
      <c r="A835" s="17" t="n"/>
      <c r="B835" s="17" t="n"/>
      <c r="C835" s="18" t="n"/>
      <c r="D835" s="19" t="n"/>
      <c r="E835" s="17" t="n"/>
      <c r="F835" s="21">
        <f>IF(OR(B835="",C835=""),"",IFERROR(INT(ROUND(IFERROR(TIMEVALUE(IF(LEN(C835)-LEN(SUBSTITUTE(C835,":",""))=2,"","0:")&amp;C835)*86400,"")/VALUE(SUBSTITUTE(B835,"K","")),0)/60)&amp;":"&amp;TEXT(MOD(ROUND(IFERROR(TIMEVALUE(IF(LEN(C835)-LEN(SUBSTITUTE(C835,":",""))=2,"","0:")&amp;C835)*86400,"")/VALUE(SUBSTITUTE(B835,"K","")),0),60),"00"),""))</f>
        <v/>
      </c>
      <c r="G835" s="21">
        <f>IF(A835="","",IF(COUNTIF(Atletas!$A$2:$A$302,A835)&gt;0,"Sí","No"))</f>
        <v/>
      </c>
    </row>
    <row r="836">
      <c r="A836" s="17" t="n"/>
      <c r="B836" s="17" t="n"/>
      <c r="C836" s="18" t="n"/>
      <c r="D836" s="19" t="n"/>
      <c r="E836" s="17" t="n"/>
      <c r="F836" s="21">
        <f>IF(OR(B836="",C836=""),"",IFERROR(INT(ROUND(IFERROR(TIMEVALUE(IF(LEN(C836)-LEN(SUBSTITUTE(C836,":",""))=2,"","0:")&amp;C836)*86400,"")/VALUE(SUBSTITUTE(B836,"K","")),0)/60)&amp;":"&amp;TEXT(MOD(ROUND(IFERROR(TIMEVALUE(IF(LEN(C836)-LEN(SUBSTITUTE(C836,":",""))=2,"","0:")&amp;C836)*86400,"")/VALUE(SUBSTITUTE(B836,"K","")),0),60),"00"),""))</f>
        <v/>
      </c>
      <c r="G836" s="21">
        <f>IF(A836="","",IF(COUNTIF(Atletas!$A$2:$A$302,A836)&gt;0,"Sí","No"))</f>
        <v/>
      </c>
    </row>
    <row r="837">
      <c r="A837" s="17" t="n"/>
      <c r="B837" s="17" t="n"/>
      <c r="C837" s="18" t="n"/>
      <c r="D837" s="19" t="n"/>
      <c r="E837" s="17" t="n"/>
      <c r="F837" s="21">
        <f>IF(OR(B837="",C837=""),"",IFERROR(INT(ROUND(IFERROR(TIMEVALUE(IF(LEN(C837)-LEN(SUBSTITUTE(C837,":",""))=2,"","0:")&amp;C837)*86400,"")/VALUE(SUBSTITUTE(B837,"K","")),0)/60)&amp;":"&amp;TEXT(MOD(ROUND(IFERROR(TIMEVALUE(IF(LEN(C837)-LEN(SUBSTITUTE(C837,":",""))=2,"","0:")&amp;C837)*86400,"")/VALUE(SUBSTITUTE(B837,"K","")),0),60),"00"),""))</f>
        <v/>
      </c>
      <c r="G837" s="21">
        <f>IF(A837="","",IF(COUNTIF(Atletas!$A$2:$A$302,A837)&gt;0,"Sí","No"))</f>
        <v/>
      </c>
    </row>
    <row r="838">
      <c r="A838" s="17" t="n"/>
      <c r="B838" s="17" t="n"/>
      <c r="C838" s="18" t="n"/>
      <c r="D838" s="19" t="n"/>
      <c r="E838" s="17" t="n"/>
      <c r="F838" s="21">
        <f>IF(OR(B838="",C838=""),"",IFERROR(INT(ROUND(IFERROR(TIMEVALUE(IF(LEN(C838)-LEN(SUBSTITUTE(C838,":",""))=2,"","0:")&amp;C838)*86400,"")/VALUE(SUBSTITUTE(B838,"K","")),0)/60)&amp;":"&amp;TEXT(MOD(ROUND(IFERROR(TIMEVALUE(IF(LEN(C838)-LEN(SUBSTITUTE(C838,":",""))=2,"","0:")&amp;C838)*86400,"")/VALUE(SUBSTITUTE(B838,"K","")),0),60),"00"),""))</f>
        <v/>
      </c>
      <c r="G838" s="21">
        <f>IF(A838="","",IF(COUNTIF(Atletas!$A$2:$A$302,A838)&gt;0,"Sí","No"))</f>
        <v/>
      </c>
    </row>
    <row r="839">
      <c r="A839" s="17" t="n"/>
      <c r="B839" s="17" t="n"/>
      <c r="C839" s="18" t="n"/>
      <c r="D839" s="19" t="n"/>
      <c r="E839" s="17" t="n"/>
      <c r="F839" s="21">
        <f>IF(OR(B839="",C839=""),"",IFERROR(INT(ROUND(IFERROR(TIMEVALUE(IF(LEN(C839)-LEN(SUBSTITUTE(C839,":",""))=2,"","0:")&amp;C839)*86400,"")/VALUE(SUBSTITUTE(B839,"K","")),0)/60)&amp;":"&amp;TEXT(MOD(ROUND(IFERROR(TIMEVALUE(IF(LEN(C839)-LEN(SUBSTITUTE(C839,":",""))=2,"","0:")&amp;C839)*86400,"")/VALUE(SUBSTITUTE(B839,"K","")),0),60),"00"),""))</f>
        <v/>
      </c>
      <c r="G839" s="21">
        <f>IF(A839="","",IF(COUNTIF(Atletas!$A$2:$A$302,A839)&gt;0,"Sí","No"))</f>
        <v/>
      </c>
    </row>
    <row r="840">
      <c r="A840" s="17" t="n"/>
      <c r="B840" s="17" t="n"/>
      <c r="C840" s="18" t="n"/>
      <c r="D840" s="19" t="n"/>
      <c r="E840" s="17" t="n"/>
      <c r="F840" s="21">
        <f>IF(OR(B840="",C840=""),"",IFERROR(INT(ROUND(IFERROR(TIMEVALUE(IF(LEN(C840)-LEN(SUBSTITUTE(C840,":",""))=2,"","0:")&amp;C840)*86400,"")/VALUE(SUBSTITUTE(B840,"K","")),0)/60)&amp;":"&amp;TEXT(MOD(ROUND(IFERROR(TIMEVALUE(IF(LEN(C840)-LEN(SUBSTITUTE(C840,":",""))=2,"","0:")&amp;C840)*86400,"")/VALUE(SUBSTITUTE(B840,"K","")),0),60),"00"),""))</f>
        <v/>
      </c>
      <c r="G840" s="21">
        <f>IF(A840="","",IF(COUNTIF(Atletas!$A$2:$A$302,A840)&gt;0,"Sí","No"))</f>
        <v/>
      </c>
    </row>
    <row r="841">
      <c r="A841" s="17" t="n"/>
      <c r="B841" s="17" t="n"/>
      <c r="C841" s="18" t="n"/>
      <c r="D841" s="19" t="n"/>
      <c r="E841" s="17" t="n"/>
      <c r="F841" s="21">
        <f>IF(OR(B841="",C841=""),"",IFERROR(INT(ROUND(IFERROR(TIMEVALUE(IF(LEN(C841)-LEN(SUBSTITUTE(C841,":",""))=2,"","0:")&amp;C841)*86400,"")/VALUE(SUBSTITUTE(B841,"K","")),0)/60)&amp;":"&amp;TEXT(MOD(ROUND(IFERROR(TIMEVALUE(IF(LEN(C841)-LEN(SUBSTITUTE(C841,":",""))=2,"","0:")&amp;C841)*86400,"")/VALUE(SUBSTITUTE(B841,"K","")),0),60),"00"),""))</f>
        <v/>
      </c>
      <c r="G841" s="21">
        <f>IF(A841="","",IF(COUNTIF(Atletas!$A$2:$A$302,A841)&gt;0,"Sí","No"))</f>
        <v/>
      </c>
    </row>
    <row r="842">
      <c r="A842" s="17" t="n"/>
      <c r="B842" s="17" t="n"/>
      <c r="C842" s="18" t="n"/>
      <c r="D842" s="19" t="n"/>
      <c r="E842" s="17" t="n"/>
      <c r="F842" s="21">
        <f>IF(OR(B842="",C842=""),"",IFERROR(INT(ROUND(IFERROR(TIMEVALUE(IF(LEN(C842)-LEN(SUBSTITUTE(C842,":",""))=2,"","0:")&amp;C842)*86400,"")/VALUE(SUBSTITUTE(B842,"K","")),0)/60)&amp;":"&amp;TEXT(MOD(ROUND(IFERROR(TIMEVALUE(IF(LEN(C842)-LEN(SUBSTITUTE(C842,":",""))=2,"","0:")&amp;C842)*86400,"")/VALUE(SUBSTITUTE(B842,"K","")),0),60),"00"),""))</f>
        <v/>
      </c>
      <c r="G842" s="21">
        <f>IF(A842="","",IF(COUNTIF(Atletas!$A$2:$A$302,A842)&gt;0,"Sí","No"))</f>
        <v/>
      </c>
    </row>
    <row r="843">
      <c r="A843" s="17" t="n"/>
      <c r="B843" s="17" t="n"/>
      <c r="C843" s="18" t="n"/>
      <c r="D843" s="19" t="n"/>
      <c r="E843" s="17" t="n"/>
      <c r="F843" s="21">
        <f>IF(OR(B843="",C843=""),"",IFERROR(INT(ROUND(IFERROR(TIMEVALUE(IF(LEN(C843)-LEN(SUBSTITUTE(C843,":",""))=2,"","0:")&amp;C843)*86400,"")/VALUE(SUBSTITUTE(B843,"K","")),0)/60)&amp;":"&amp;TEXT(MOD(ROUND(IFERROR(TIMEVALUE(IF(LEN(C843)-LEN(SUBSTITUTE(C843,":",""))=2,"","0:")&amp;C843)*86400,"")/VALUE(SUBSTITUTE(B843,"K","")),0),60),"00"),""))</f>
        <v/>
      </c>
      <c r="G843" s="21">
        <f>IF(A843="","",IF(COUNTIF(Atletas!$A$2:$A$302,A843)&gt;0,"Sí","No"))</f>
        <v/>
      </c>
    </row>
    <row r="844">
      <c r="A844" s="17" t="n"/>
      <c r="B844" s="17" t="n"/>
      <c r="C844" s="18" t="n"/>
      <c r="D844" s="19" t="n"/>
      <c r="E844" s="17" t="n"/>
      <c r="F844" s="21">
        <f>IF(OR(B844="",C844=""),"",IFERROR(INT(ROUND(IFERROR(TIMEVALUE(IF(LEN(C844)-LEN(SUBSTITUTE(C844,":",""))=2,"","0:")&amp;C844)*86400,"")/VALUE(SUBSTITUTE(B844,"K","")),0)/60)&amp;":"&amp;TEXT(MOD(ROUND(IFERROR(TIMEVALUE(IF(LEN(C844)-LEN(SUBSTITUTE(C844,":",""))=2,"","0:")&amp;C844)*86400,"")/VALUE(SUBSTITUTE(B844,"K","")),0),60),"00"),""))</f>
        <v/>
      </c>
      <c r="G844" s="21">
        <f>IF(A844="","",IF(COUNTIF(Atletas!$A$2:$A$302,A844)&gt;0,"Sí","No"))</f>
        <v/>
      </c>
    </row>
    <row r="845">
      <c r="A845" s="17" t="n"/>
      <c r="B845" s="17" t="n"/>
      <c r="C845" s="18" t="n"/>
      <c r="D845" s="19" t="n"/>
      <c r="E845" s="17" t="n"/>
      <c r="F845" s="21">
        <f>IF(OR(B845="",C845=""),"",IFERROR(INT(ROUND(IFERROR(TIMEVALUE(IF(LEN(C845)-LEN(SUBSTITUTE(C845,":",""))=2,"","0:")&amp;C845)*86400,"")/VALUE(SUBSTITUTE(B845,"K","")),0)/60)&amp;":"&amp;TEXT(MOD(ROUND(IFERROR(TIMEVALUE(IF(LEN(C845)-LEN(SUBSTITUTE(C845,":",""))=2,"","0:")&amp;C845)*86400,"")/VALUE(SUBSTITUTE(B845,"K","")),0),60),"00"),""))</f>
        <v/>
      </c>
      <c r="G845" s="21">
        <f>IF(A845="","",IF(COUNTIF(Atletas!$A$2:$A$302,A845)&gt;0,"Sí","No"))</f>
        <v/>
      </c>
    </row>
    <row r="846">
      <c r="A846" s="17" t="n"/>
      <c r="B846" s="17" t="n"/>
      <c r="C846" s="18" t="n"/>
      <c r="D846" s="19" t="n"/>
      <c r="E846" s="17" t="n"/>
      <c r="F846" s="21">
        <f>IF(OR(B846="",C846=""),"",IFERROR(INT(ROUND(IFERROR(TIMEVALUE(IF(LEN(C846)-LEN(SUBSTITUTE(C846,":",""))=2,"","0:")&amp;C846)*86400,"")/VALUE(SUBSTITUTE(B846,"K","")),0)/60)&amp;":"&amp;TEXT(MOD(ROUND(IFERROR(TIMEVALUE(IF(LEN(C846)-LEN(SUBSTITUTE(C846,":",""))=2,"","0:")&amp;C846)*86400,"")/VALUE(SUBSTITUTE(B846,"K","")),0),60),"00"),""))</f>
        <v/>
      </c>
      <c r="G846" s="21">
        <f>IF(A846="","",IF(COUNTIF(Atletas!$A$2:$A$302,A846)&gt;0,"Sí","No"))</f>
        <v/>
      </c>
    </row>
    <row r="847">
      <c r="A847" s="17" t="n"/>
      <c r="B847" s="17" t="n"/>
      <c r="C847" s="18" t="n"/>
      <c r="D847" s="19" t="n"/>
      <c r="E847" s="17" t="n"/>
      <c r="F847" s="21">
        <f>IF(OR(B847="",C847=""),"",IFERROR(INT(ROUND(IFERROR(TIMEVALUE(IF(LEN(C847)-LEN(SUBSTITUTE(C847,":",""))=2,"","0:")&amp;C847)*86400,"")/VALUE(SUBSTITUTE(B847,"K","")),0)/60)&amp;":"&amp;TEXT(MOD(ROUND(IFERROR(TIMEVALUE(IF(LEN(C847)-LEN(SUBSTITUTE(C847,":",""))=2,"","0:")&amp;C847)*86400,"")/VALUE(SUBSTITUTE(B847,"K","")),0),60),"00"),""))</f>
        <v/>
      </c>
      <c r="G847" s="21">
        <f>IF(A847="","",IF(COUNTIF(Atletas!$A$2:$A$302,A847)&gt;0,"Sí","No"))</f>
        <v/>
      </c>
    </row>
    <row r="848">
      <c r="A848" s="17" t="n"/>
      <c r="B848" s="17" t="n"/>
      <c r="C848" s="18" t="n"/>
      <c r="D848" s="19" t="n"/>
      <c r="E848" s="17" t="n"/>
      <c r="F848" s="21">
        <f>IF(OR(B848="",C848=""),"",IFERROR(INT(ROUND(IFERROR(TIMEVALUE(IF(LEN(C848)-LEN(SUBSTITUTE(C848,":",""))=2,"","0:")&amp;C848)*86400,"")/VALUE(SUBSTITUTE(B848,"K","")),0)/60)&amp;":"&amp;TEXT(MOD(ROUND(IFERROR(TIMEVALUE(IF(LEN(C848)-LEN(SUBSTITUTE(C848,":",""))=2,"","0:")&amp;C848)*86400,"")/VALUE(SUBSTITUTE(B848,"K","")),0),60),"00"),""))</f>
        <v/>
      </c>
      <c r="G848" s="21">
        <f>IF(A848="","",IF(COUNTIF(Atletas!$A$2:$A$302,A848)&gt;0,"Sí","No"))</f>
        <v/>
      </c>
    </row>
    <row r="849">
      <c r="A849" s="17" t="n"/>
      <c r="B849" s="17" t="n"/>
      <c r="C849" s="18" t="n"/>
      <c r="D849" s="19" t="n"/>
      <c r="E849" s="17" t="n"/>
      <c r="F849" s="21">
        <f>IF(OR(B849="",C849=""),"",IFERROR(INT(ROUND(IFERROR(TIMEVALUE(IF(LEN(C849)-LEN(SUBSTITUTE(C849,":",""))=2,"","0:")&amp;C849)*86400,"")/VALUE(SUBSTITUTE(B849,"K","")),0)/60)&amp;":"&amp;TEXT(MOD(ROUND(IFERROR(TIMEVALUE(IF(LEN(C849)-LEN(SUBSTITUTE(C849,":",""))=2,"","0:")&amp;C849)*86400,"")/VALUE(SUBSTITUTE(B849,"K","")),0),60),"00"),""))</f>
        <v/>
      </c>
      <c r="G849" s="21">
        <f>IF(A849="","",IF(COUNTIF(Atletas!$A$2:$A$302,A849)&gt;0,"Sí","No"))</f>
        <v/>
      </c>
    </row>
    <row r="850">
      <c r="A850" s="17" t="n"/>
      <c r="B850" s="17" t="n"/>
      <c r="C850" s="18" t="n"/>
      <c r="D850" s="19" t="n"/>
      <c r="E850" s="17" t="n"/>
      <c r="F850" s="21">
        <f>IF(OR(B850="",C850=""),"",IFERROR(INT(ROUND(IFERROR(TIMEVALUE(IF(LEN(C850)-LEN(SUBSTITUTE(C850,":",""))=2,"","0:")&amp;C850)*86400,"")/VALUE(SUBSTITUTE(B850,"K","")),0)/60)&amp;":"&amp;TEXT(MOD(ROUND(IFERROR(TIMEVALUE(IF(LEN(C850)-LEN(SUBSTITUTE(C850,":",""))=2,"","0:")&amp;C850)*86400,"")/VALUE(SUBSTITUTE(B850,"K","")),0),60),"00"),""))</f>
        <v/>
      </c>
      <c r="G850" s="21">
        <f>IF(A850="","",IF(COUNTIF(Atletas!$A$2:$A$302,A850)&gt;0,"Sí","No"))</f>
        <v/>
      </c>
    </row>
    <row r="851">
      <c r="A851" s="17" t="n"/>
      <c r="B851" s="17" t="n"/>
      <c r="C851" s="18" t="n"/>
      <c r="D851" s="19" t="n"/>
      <c r="E851" s="17" t="n"/>
      <c r="F851" s="21">
        <f>IF(OR(B851="",C851=""),"",IFERROR(INT(ROUND(IFERROR(TIMEVALUE(IF(LEN(C851)-LEN(SUBSTITUTE(C851,":",""))=2,"","0:")&amp;C851)*86400,"")/VALUE(SUBSTITUTE(B851,"K","")),0)/60)&amp;":"&amp;TEXT(MOD(ROUND(IFERROR(TIMEVALUE(IF(LEN(C851)-LEN(SUBSTITUTE(C851,":",""))=2,"","0:")&amp;C851)*86400,"")/VALUE(SUBSTITUTE(B851,"K","")),0),60),"00"),""))</f>
        <v/>
      </c>
      <c r="G851" s="21">
        <f>IF(A851="","",IF(COUNTIF(Atletas!$A$2:$A$302,A851)&gt;0,"Sí","No"))</f>
        <v/>
      </c>
    </row>
    <row r="852">
      <c r="A852" s="17" t="n"/>
      <c r="B852" s="17" t="n"/>
      <c r="C852" s="18" t="n"/>
      <c r="D852" s="19" t="n"/>
      <c r="E852" s="17" t="n"/>
      <c r="F852" s="21">
        <f>IF(OR(B852="",C852=""),"",IFERROR(INT(ROUND(IFERROR(TIMEVALUE(IF(LEN(C852)-LEN(SUBSTITUTE(C852,":",""))=2,"","0:")&amp;C852)*86400,"")/VALUE(SUBSTITUTE(B852,"K","")),0)/60)&amp;":"&amp;TEXT(MOD(ROUND(IFERROR(TIMEVALUE(IF(LEN(C852)-LEN(SUBSTITUTE(C852,":",""))=2,"","0:")&amp;C852)*86400,"")/VALUE(SUBSTITUTE(B852,"K","")),0),60),"00"),""))</f>
        <v/>
      </c>
      <c r="G852" s="21">
        <f>IF(A852="","",IF(COUNTIF(Atletas!$A$2:$A$302,A852)&gt;0,"Sí","No"))</f>
        <v/>
      </c>
    </row>
    <row r="853">
      <c r="A853" s="17" t="n"/>
      <c r="B853" s="17" t="n"/>
      <c r="C853" s="18" t="n"/>
      <c r="D853" s="19" t="n"/>
      <c r="E853" s="17" t="n"/>
      <c r="F853" s="21">
        <f>IF(OR(B853="",C853=""),"",IFERROR(INT(ROUND(IFERROR(TIMEVALUE(IF(LEN(C853)-LEN(SUBSTITUTE(C853,":",""))=2,"","0:")&amp;C853)*86400,"")/VALUE(SUBSTITUTE(B853,"K","")),0)/60)&amp;":"&amp;TEXT(MOD(ROUND(IFERROR(TIMEVALUE(IF(LEN(C853)-LEN(SUBSTITUTE(C853,":",""))=2,"","0:")&amp;C853)*86400,"")/VALUE(SUBSTITUTE(B853,"K","")),0),60),"00"),""))</f>
        <v/>
      </c>
      <c r="G853" s="21">
        <f>IF(A853="","",IF(COUNTIF(Atletas!$A$2:$A$302,A853)&gt;0,"Sí","No"))</f>
        <v/>
      </c>
    </row>
    <row r="854">
      <c r="A854" s="17" t="n"/>
      <c r="B854" s="17" t="n"/>
      <c r="C854" s="18" t="n"/>
      <c r="D854" s="19" t="n"/>
      <c r="E854" s="17" t="n"/>
      <c r="F854" s="21">
        <f>IF(OR(B854="",C854=""),"",IFERROR(INT(ROUND(IFERROR(TIMEVALUE(IF(LEN(C854)-LEN(SUBSTITUTE(C854,":",""))=2,"","0:")&amp;C854)*86400,"")/VALUE(SUBSTITUTE(B854,"K","")),0)/60)&amp;":"&amp;TEXT(MOD(ROUND(IFERROR(TIMEVALUE(IF(LEN(C854)-LEN(SUBSTITUTE(C854,":",""))=2,"","0:")&amp;C854)*86400,"")/VALUE(SUBSTITUTE(B854,"K","")),0),60),"00"),""))</f>
        <v/>
      </c>
      <c r="G854" s="21">
        <f>IF(A854="","",IF(COUNTIF(Atletas!$A$2:$A$302,A854)&gt;0,"Sí","No"))</f>
        <v/>
      </c>
    </row>
    <row r="855">
      <c r="A855" s="17" t="n"/>
      <c r="B855" s="17" t="n"/>
      <c r="C855" s="18" t="n"/>
      <c r="D855" s="19" t="n"/>
      <c r="E855" s="17" t="n"/>
      <c r="F855" s="21">
        <f>IF(OR(B855="",C855=""),"",IFERROR(INT(ROUND(IFERROR(TIMEVALUE(IF(LEN(C855)-LEN(SUBSTITUTE(C855,":",""))=2,"","0:")&amp;C855)*86400,"")/VALUE(SUBSTITUTE(B855,"K","")),0)/60)&amp;":"&amp;TEXT(MOD(ROUND(IFERROR(TIMEVALUE(IF(LEN(C855)-LEN(SUBSTITUTE(C855,":",""))=2,"","0:")&amp;C855)*86400,"")/VALUE(SUBSTITUTE(B855,"K","")),0),60),"00"),""))</f>
        <v/>
      </c>
      <c r="G855" s="21">
        <f>IF(A855="","",IF(COUNTIF(Atletas!$A$2:$A$302,A855)&gt;0,"Sí","No"))</f>
        <v/>
      </c>
    </row>
    <row r="856">
      <c r="A856" s="17" t="n"/>
      <c r="B856" s="17" t="n"/>
      <c r="C856" s="18" t="n"/>
      <c r="D856" s="19" t="n"/>
      <c r="E856" s="17" t="n"/>
      <c r="F856" s="21">
        <f>IF(OR(B856="",C856=""),"",IFERROR(INT(ROUND(IFERROR(TIMEVALUE(IF(LEN(C856)-LEN(SUBSTITUTE(C856,":",""))=2,"","0:")&amp;C856)*86400,"")/VALUE(SUBSTITUTE(B856,"K","")),0)/60)&amp;":"&amp;TEXT(MOD(ROUND(IFERROR(TIMEVALUE(IF(LEN(C856)-LEN(SUBSTITUTE(C856,":",""))=2,"","0:")&amp;C856)*86400,"")/VALUE(SUBSTITUTE(B856,"K","")),0),60),"00"),""))</f>
        <v/>
      </c>
      <c r="G856" s="21">
        <f>IF(A856="","",IF(COUNTIF(Atletas!$A$2:$A$302,A856)&gt;0,"Sí","No"))</f>
        <v/>
      </c>
    </row>
    <row r="857">
      <c r="A857" s="17" t="n"/>
      <c r="B857" s="17" t="n"/>
      <c r="C857" s="18" t="n"/>
      <c r="D857" s="19" t="n"/>
      <c r="E857" s="17" t="n"/>
      <c r="F857" s="21">
        <f>IF(OR(B857="",C857=""),"",IFERROR(INT(ROUND(IFERROR(TIMEVALUE(IF(LEN(C857)-LEN(SUBSTITUTE(C857,":",""))=2,"","0:")&amp;C857)*86400,"")/VALUE(SUBSTITUTE(B857,"K","")),0)/60)&amp;":"&amp;TEXT(MOD(ROUND(IFERROR(TIMEVALUE(IF(LEN(C857)-LEN(SUBSTITUTE(C857,":",""))=2,"","0:")&amp;C857)*86400,"")/VALUE(SUBSTITUTE(B857,"K","")),0),60),"00"),""))</f>
        <v/>
      </c>
      <c r="G857" s="21">
        <f>IF(A857="","",IF(COUNTIF(Atletas!$A$2:$A$302,A857)&gt;0,"Sí","No"))</f>
        <v/>
      </c>
    </row>
    <row r="858">
      <c r="A858" s="17" t="n"/>
      <c r="B858" s="17" t="n"/>
      <c r="C858" s="18" t="n"/>
      <c r="D858" s="19" t="n"/>
      <c r="E858" s="17" t="n"/>
      <c r="F858" s="21">
        <f>IF(OR(B858="",C858=""),"",IFERROR(INT(ROUND(IFERROR(TIMEVALUE(IF(LEN(C858)-LEN(SUBSTITUTE(C858,":",""))=2,"","0:")&amp;C858)*86400,"")/VALUE(SUBSTITUTE(B858,"K","")),0)/60)&amp;":"&amp;TEXT(MOD(ROUND(IFERROR(TIMEVALUE(IF(LEN(C858)-LEN(SUBSTITUTE(C858,":",""))=2,"","0:")&amp;C858)*86400,"")/VALUE(SUBSTITUTE(B858,"K","")),0),60),"00"),""))</f>
        <v/>
      </c>
      <c r="G858" s="21">
        <f>IF(A858="","",IF(COUNTIF(Atletas!$A$2:$A$302,A858)&gt;0,"Sí","No"))</f>
        <v/>
      </c>
    </row>
    <row r="859">
      <c r="A859" s="17" t="n"/>
      <c r="B859" s="17" t="n"/>
      <c r="C859" s="18" t="n"/>
      <c r="D859" s="19" t="n"/>
      <c r="E859" s="17" t="n"/>
      <c r="F859" s="21">
        <f>IF(OR(B859="",C859=""),"",IFERROR(INT(ROUND(IFERROR(TIMEVALUE(IF(LEN(C859)-LEN(SUBSTITUTE(C859,":",""))=2,"","0:")&amp;C859)*86400,"")/VALUE(SUBSTITUTE(B859,"K","")),0)/60)&amp;":"&amp;TEXT(MOD(ROUND(IFERROR(TIMEVALUE(IF(LEN(C859)-LEN(SUBSTITUTE(C859,":",""))=2,"","0:")&amp;C859)*86400,"")/VALUE(SUBSTITUTE(B859,"K","")),0),60),"00"),""))</f>
        <v/>
      </c>
      <c r="G859" s="21">
        <f>IF(A859="","",IF(COUNTIF(Atletas!$A$2:$A$302,A859)&gt;0,"Sí","No"))</f>
        <v/>
      </c>
    </row>
    <row r="860">
      <c r="A860" s="17" t="n"/>
      <c r="B860" s="17" t="n"/>
      <c r="C860" s="18" t="n"/>
      <c r="D860" s="19" t="n"/>
      <c r="E860" s="17" t="n"/>
      <c r="F860" s="21">
        <f>IF(OR(B860="",C860=""),"",IFERROR(INT(ROUND(IFERROR(TIMEVALUE(IF(LEN(C860)-LEN(SUBSTITUTE(C860,":",""))=2,"","0:")&amp;C860)*86400,"")/VALUE(SUBSTITUTE(B860,"K","")),0)/60)&amp;":"&amp;TEXT(MOD(ROUND(IFERROR(TIMEVALUE(IF(LEN(C860)-LEN(SUBSTITUTE(C860,":",""))=2,"","0:")&amp;C860)*86400,"")/VALUE(SUBSTITUTE(B860,"K","")),0),60),"00"),""))</f>
        <v/>
      </c>
      <c r="G860" s="21">
        <f>IF(A860="","",IF(COUNTIF(Atletas!$A$2:$A$302,A860)&gt;0,"Sí","No"))</f>
        <v/>
      </c>
    </row>
    <row r="861">
      <c r="A861" s="17" t="n"/>
      <c r="B861" s="17" t="n"/>
      <c r="C861" s="18" t="n"/>
      <c r="D861" s="19" t="n"/>
      <c r="E861" s="17" t="n"/>
      <c r="F861" s="21">
        <f>IF(OR(B861="",C861=""),"",IFERROR(INT(ROUND(IFERROR(TIMEVALUE(IF(LEN(C861)-LEN(SUBSTITUTE(C861,":",""))=2,"","0:")&amp;C861)*86400,"")/VALUE(SUBSTITUTE(B861,"K","")),0)/60)&amp;":"&amp;TEXT(MOD(ROUND(IFERROR(TIMEVALUE(IF(LEN(C861)-LEN(SUBSTITUTE(C861,":",""))=2,"","0:")&amp;C861)*86400,"")/VALUE(SUBSTITUTE(B861,"K","")),0),60),"00"),""))</f>
        <v/>
      </c>
      <c r="G861" s="21">
        <f>IF(A861="","",IF(COUNTIF(Atletas!$A$2:$A$302,A861)&gt;0,"Sí","No"))</f>
        <v/>
      </c>
    </row>
    <row r="862">
      <c r="A862" s="17" t="n"/>
      <c r="B862" s="17" t="n"/>
      <c r="C862" s="18" t="n"/>
      <c r="D862" s="19" t="n"/>
      <c r="E862" s="17" t="n"/>
      <c r="F862" s="21">
        <f>IF(OR(B862="",C862=""),"",IFERROR(INT(ROUND(IFERROR(TIMEVALUE(IF(LEN(C862)-LEN(SUBSTITUTE(C862,":",""))=2,"","0:")&amp;C862)*86400,"")/VALUE(SUBSTITUTE(B862,"K","")),0)/60)&amp;":"&amp;TEXT(MOD(ROUND(IFERROR(TIMEVALUE(IF(LEN(C862)-LEN(SUBSTITUTE(C862,":",""))=2,"","0:")&amp;C862)*86400,"")/VALUE(SUBSTITUTE(B862,"K","")),0),60),"00"),""))</f>
        <v/>
      </c>
      <c r="G862" s="21">
        <f>IF(A862="","",IF(COUNTIF(Atletas!$A$2:$A$302,A862)&gt;0,"Sí","No"))</f>
        <v/>
      </c>
    </row>
    <row r="863">
      <c r="A863" s="17" t="n"/>
      <c r="B863" s="17" t="n"/>
      <c r="C863" s="18" t="n"/>
      <c r="D863" s="19" t="n"/>
      <c r="E863" s="17" t="n"/>
      <c r="F863" s="21">
        <f>IF(OR(B863="",C863=""),"",IFERROR(INT(ROUND(IFERROR(TIMEVALUE(IF(LEN(C863)-LEN(SUBSTITUTE(C863,":",""))=2,"","0:")&amp;C863)*86400,"")/VALUE(SUBSTITUTE(B863,"K","")),0)/60)&amp;":"&amp;TEXT(MOD(ROUND(IFERROR(TIMEVALUE(IF(LEN(C863)-LEN(SUBSTITUTE(C863,":",""))=2,"","0:")&amp;C863)*86400,"")/VALUE(SUBSTITUTE(B863,"K","")),0),60),"00"),""))</f>
        <v/>
      </c>
      <c r="G863" s="21">
        <f>IF(A863="","",IF(COUNTIF(Atletas!$A$2:$A$302,A863)&gt;0,"Sí","No"))</f>
        <v/>
      </c>
    </row>
    <row r="864">
      <c r="A864" s="17" t="n"/>
      <c r="B864" s="17" t="n"/>
      <c r="C864" s="18" t="n"/>
      <c r="D864" s="19" t="n"/>
      <c r="E864" s="17" t="n"/>
      <c r="F864" s="21">
        <f>IF(OR(B864="",C864=""),"",IFERROR(INT(ROUND(IFERROR(TIMEVALUE(IF(LEN(C864)-LEN(SUBSTITUTE(C864,":",""))=2,"","0:")&amp;C864)*86400,"")/VALUE(SUBSTITUTE(B864,"K","")),0)/60)&amp;":"&amp;TEXT(MOD(ROUND(IFERROR(TIMEVALUE(IF(LEN(C864)-LEN(SUBSTITUTE(C864,":",""))=2,"","0:")&amp;C864)*86400,"")/VALUE(SUBSTITUTE(B864,"K","")),0),60),"00"),""))</f>
        <v/>
      </c>
      <c r="G864" s="21">
        <f>IF(A864="","",IF(COUNTIF(Atletas!$A$2:$A$302,A864)&gt;0,"Sí","No"))</f>
        <v/>
      </c>
    </row>
    <row r="865">
      <c r="A865" s="17" t="n"/>
      <c r="B865" s="17" t="n"/>
      <c r="C865" s="18" t="n"/>
      <c r="D865" s="19" t="n"/>
      <c r="E865" s="17" t="n"/>
      <c r="F865" s="21">
        <f>IF(OR(B865="",C865=""),"",IFERROR(INT(ROUND(IFERROR(TIMEVALUE(IF(LEN(C865)-LEN(SUBSTITUTE(C865,":",""))=2,"","0:")&amp;C865)*86400,"")/VALUE(SUBSTITUTE(B865,"K","")),0)/60)&amp;":"&amp;TEXT(MOD(ROUND(IFERROR(TIMEVALUE(IF(LEN(C865)-LEN(SUBSTITUTE(C865,":",""))=2,"","0:")&amp;C865)*86400,"")/VALUE(SUBSTITUTE(B865,"K","")),0),60),"00"),""))</f>
        <v/>
      </c>
      <c r="G865" s="21">
        <f>IF(A865="","",IF(COUNTIF(Atletas!$A$2:$A$302,A865)&gt;0,"Sí","No"))</f>
        <v/>
      </c>
    </row>
    <row r="866">
      <c r="A866" s="17" t="n"/>
      <c r="B866" s="17" t="n"/>
      <c r="C866" s="18" t="n"/>
      <c r="D866" s="19" t="n"/>
      <c r="E866" s="17" t="n"/>
      <c r="F866" s="21">
        <f>IF(OR(B866="",C866=""),"",IFERROR(INT(ROUND(IFERROR(TIMEVALUE(IF(LEN(C866)-LEN(SUBSTITUTE(C866,":",""))=2,"","0:")&amp;C866)*86400,"")/VALUE(SUBSTITUTE(B866,"K","")),0)/60)&amp;":"&amp;TEXT(MOD(ROUND(IFERROR(TIMEVALUE(IF(LEN(C866)-LEN(SUBSTITUTE(C866,":",""))=2,"","0:")&amp;C866)*86400,"")/VALUE(SUBSTITUTE(B866,"K","")),0),60),"00"),""))</f>
        <v/>
      </c>
      <c r="G866" s="21">
        <f>IF(A866="","",IF(COUNTIF(Atletas!$A$2:$A$302,A866)&gt;0,"Sí","No"))</f>
        <v/>
      </c>
    </row>
    <row r="867">
      <c r="A867" s="17" t="n"/>
      <c r="B867" s="17" t="n"/>
      <c r="C867" s="18" t="n"/>
      <c r="D867" s="19" t="n"/>
      <c r="E867" s="17" t="n"/>
      <c r="F867" s="21">
        <f>IF(OR(B867="",C867=""),"",IFERROR(INT(ROUND(IFERROR(TIMEVALUE(IF(LEN(C867)-LEN(SUBSTITUTE(C867,":",""))=2,"","0:")&amp;C867)*86400,"")/VALUE(SUBSTITUTE(B867,"K","")),0)/60)&amp;":"&amp;TEXT(MOD(ROUND(IFERROR(TIMEVALUE(IF(LEN(C867)-LEN(SUBSTITUTE(C867,":",""))=2,"","0:")&amp;C867)*86400,"")/VALUE(SUBSTITUTE(B867,"K","")),0),60),"00"),""))</f>
        <v/>
      </c>
      <c r="G867" s="21">
        <f>IF(A867="","",IF(COUNTIF(Atletas!$A$2:$A$302,A867)&gt;0,"Sí","No"))</f>
        <v/>
      </c>
    </row>
    <row r="868">
      <c r="A868" s="17" t="n"/>
      <c r="B868" s="17" t="n"/>
      <c r="C868" s="18" t="n"/>
      <c r="D868" s="19" t="n"/>
      <c r="E868" s="17" t="n"/>
      <c r="F868" s="21">
        <f>IF(OR(B868="",C868=""),"",IFERROR(INT(ROUND(IFERROR(TIMEVALUE(IF(LEN(C868)-LEN(SUBSTITUTE(C868,":",""))=2,"","0:")&amp;C868)*86400,"")/VALUE(SUBSTITUTE(B868,"K","")),0)/60)&amp;":"&amp;TEXT(MOD(ROUND(IFERROR(TIMEVALUE(IF(LEN(C868)-LEN(SUBSTITUTE(C868,":",""))=2,"","0:")&amp;C868)*86400,"")/VALUE(SUBSTITUTE(B868,"K","")),0),60),"00"),""))</f>
        <v/>
      </c>
      <c r="G868" s="21">
        <f>IF(A868="","",IF(COUNTIF(Atletas!$A$2:$A$302,A868)&gt;0,"Sí","No"))</f>
        <v/>
      </c>
    </row>
    <row r="869">
      <c r="A869" s="17" t="n"/>
      <c r="B869" s="17" t="n"/>
      <c r="C869" s="18" t="n"/>
      <c r="D869" s="19" t="n"/>
      <c r="E869" s="17" t="n"/>
      <c r="F869" s="21">
        <f>IF(OR(B869="",C869=""),"",IFERROR(INT(ROUND(IFERROR(TIMEVALUE(IF(LEN(C869)-LEN(SUBSTITUTE(C869,":",""))=2,"","0:")&amp;C869)*86400,"")/VALUE(SUBSTITUTE(B869,"K","")),0)/60)&amp;":"&amp;TEXT(MOD(ROUND(IFERROR(TIMEVALUE(IF(LEN(C869)-LEN(SUBSTITUTE(C869,":",""))=2,"","0:")&amp;C869)*86400,"")/VALUE(SUBSTITUTE(B869,"K","")),0),60),"00"),""))</f>
        <v/>
      </c>
      <c r="G869" s="21">
        <f>IF(A869="","",IF(COUNTIF(Atletas!$A$2:$A$302,A869)&gt;0,"Sí","No"))</f>
        <v/>
      </c>
    </row>
    <row r="870">
      <c r="A870" s="17" t="n"/>
      <c r="B870" s="17" t="n"/>
      <c r="C870" s="18" t="n"/>
      <c r="D870" s="19" t="n"/>
      <c r="E870" s="17" t="n"/>
      <c r="F870" s="21">
        <f>IF(OR(B870="",C870=""),"",IFERROR(INT(ROUND(IFERROR(TIMEVALUE(IF(LEN(C870)-LEN(SUBSTITUTE(C870,":",""))=2,"","0:")&amp;C870)*86400,"")/VALUE(SUBSTITUTE(B870,"K","")),0)/60)&amp;":"&amp;TEXT(MOD(ROUND(IFERROR(TIMEVALUE(IF(LEN(C870)-LEN(SUBSTITUTE(C870,":",""))=2,"","0:")&amp;C870)*86400,"")/VALUE(SUBSTITUTE(B870,"K","")),0),60),"00"),""))</f>
        <v/>
      </c>
      <c r="G870" s="21">
        <f>IF(A870="","",IF(COUNTIF(Atletas!$A$2:$A$302,A870)&gt;0,"Sí","No"))</f>
        <v/>
      </c>
    </row>
    <row r="871">
      <c r="A871" s="17" t="n"/>
      <c r="B871" s="17" t="n"/>
      <c r="C871" s="18" t="n"/>
      <c r="D871" s="19" t="n"/>
      <c r="E871" s="17" t="n"/>
      <c r="F871" s="21">
        <f>IF(OR(B871="",C871=""),"",IFERROR(INT(ROUND(IFERROR(TIMEVALUE(IF(LEN(C871)-LEN(SUBSTITUTE(C871,":",""))=2,"","0:")&amp;C871)*86400,"")/VALUE(SUBSTITUTE(B871,"K","")),0)/60)&amp;":"&amp;TEXT(MOD(ROUND(IFERROR(TIMEVALUE(IF(LEN(C871)-LEN(SUBSTITUTE(C871,":",""))=2,"","0:")&amp;C871)*86400,"")/VALUE(SUBSTITUTE(B871,"K","")),0),60),"00"),""))</f>
        <v/>
      </c>
      <c r="G871" s="21">
        <f>IF(A871="","",IF(COUNTIF(Atletas!$A$2:$A$302,A871)&gt;0,"Sí","No"))</f>
        <v/>
      </c>
    </row>
    <row r="872">
      <c r="A872" s="17" t="n"/>
      <c r="B872" s="17" t="n"/>
      <c r="C872" s="18" t="n"/>
      <c r="D872" s="19" t="n"/>
      <c r="E872" s="17" t="n"/>
      <c r="F872" s="21">
        <f>IF(OR(B872="",C872=""),"",IFERROR(INT(ROUND(IFERROR(TIMEVALUE(IF(LEN(C872)-LEN(SUBSTITUTE(C872,":",""))=2,"","0:")&amp;C872)*86400,"")/VALUE(SUBSTITUTE(B872,"K","")),0)/60)&amp;":"&amp;TEXT(MOD(ROUND(IFERROR(TIMEVALUE(IF(LEN(C872)-LEN(SUBSTITUTE(C872,":",""))=2,"","0:")&amp;C872)*86400,"")/VALUE(SUBSTITUTE(B872,"K","")),0),60),"00"),""))</f>
        <v/>
      </c>
      <c r="G872" s="21">
        <f>IF(A872="","",IF(COUNTIF(Atletas!$A$2:$A$302,A872)&gt;0,"Sí","No"))</f>
        <v/>
      </c>
    </row>
    <row r="873">
      <c r="A873" s="17" t="n"/>
      <c r="B873" s="17" t="n"/>
      <c r="C873" s="18" t="n"/>
      <c r="D873" s="19" t="n"/>
      <c r="E873" s="17" t="n"/>
      <c r="F873" s="21">
        <f>IF(OR(B873="",C873=""),"",IFERROR(INT(ROUND(IFERROR(TIMEVALUE(IF(LEN(C873)-LEN(SUBSTITUTE(C873,":",""))=2,"","0:")&amp;C873)*86400,"")/VALUE(SUBSTITUTE(B873,"K","")),0)/60)&amp;":"&amp;TEXT(MOD(ROUND(IFERROR(TIMEVALUE(IF(LEN(C873)-LEN(SUBSTITUTE(C873,":",""))=2,"","0:")&amp;C873)*86400,"")/VALUE(SUBSTITUTE(B873,"K","")),0),60),"00"),""))</f>
        <v/>
      </c>
      <c r="G873" s="21">
        <f>IF(A873="","",IF(COUNTIF(Atletas!$A$2:$A$302,A873)&gt;0,"Sí","No"))</f>
        <v/>
      </c>
    </row>
    <row r="874">
      <c r="A874" s="17" t="n"/>
      <c r="B874" s="17" t="n"/>
      <c r="C874" s="18" t="n"/>
      <c r="D874" s="19" t="n"/>
      <c r="E874" s="17" t="n"/>
      <c r="F874" s="21">
        <f>IF(OR(B874="",C874=""),"",IFERROR(INT(ROUND(IFERROR(TIMEVALUE(IF(LEN(C874)-LEN(SUBSTITUTE(C874,":",""))=2,"","0:")&amp;C874)*86400,"")/VALUE(SUBSTITUTE(B874,"K","")),0)/60)&amp;":"&amp;TEXT(MOD(ROUND(IFERROR(TIMEVALUE(IF(LEN(C874)-LEN(SUBSTITUTE(C874,":",""))=2,"","0:")&amp;C874)*86400,"")/VALUE(SUBSTITUTE(B874,"K","")),0),60),"00"),""))</f>
        <v/>
      </c>
      <c r="G874" s="21">
        <f>IF(A874="","",IF(COUNTIF(Atletas!$A$2:$A$302,A874)&gt;0,"Sí","No"))</f>
        <v/>
      </c>
    </row>
    <row r="875">
      <c r="A875" s="17" t="n"/>
      <c r="B875" s="17" t="n"/>
      <c r="C875" s="18" t="n"/>
      <c r="D875" s="19" t="n"/>
      <c r="E875" s="17" t="n"/>
      <c r="F875" s="21">
        <f>IF(OR(B875="",C875=""),"",IFERROR(INT(ROUND(IFERROR(TIMEVALUE(IF(LEN(C875)-LEN(SUBSTITUTE(C875,":",""))=2,"","0:")&amp;C875)*86400,"")/VALUE(SUBSTITUTE(B875,"K","")),0)/60)&amp;":"&amp;TEXT(MOD(ROUND(IFERROR(TIMEVALUE(IF(LEN(C875)-LEN(SUBSTITUTE(C875,":",""))=2,"","0:")&amp;C875)*86400,"")/VALUE(SUBSTITUTE(B875,"K","")),0),60),"00"),""))</f>
        <v/>
      </c>
      <c r="G875" s="21">
        <f>IF(A875="","",IF(COUNTIF(Atletas!$A$2:$A$302,A875)&gt;0,"Sí","No"))</f>
        <v/>
      </c>
    </row>
    <row r="876">
      <c r="A876" s="17" t="n"/>
      <c r="B876" s="17" t="n"/>
      <c r="C876" s="18" t="n"/>
      <c r="D876" s="19" t="n"/>
      <c r="E876" s="17" t="n"/>
      <c r="F876" s="21">
        <f>IF(OR(B876="",C876=""),"",IFERROR(INT(ROUND(IFERROR(TIMEVALUE(IF(LEN(C876)-LEN(SUBSTITUTE(C876,":",""))=2,"","0:")&amp;C876)*86400,"")/VALUE(SUBSTITUTE(B876,"K","")),0)/60)&amp;":"&amp;TEXT(MOD(ROUND(IFERROR(TIMEVALUE(IF(LEN(C876)-LEN(SUBSTITUTE(C876,":",""))=2,"","0:")&amp;C876)*86400,"")/VALUE(SUBSTITUTE(B876,"K","")),0),60),"00"),""))</f>
        <v/>
      </c>
      <c r="G876" s="21">
        <f>IF(A876="","",IF(COUNTIF(Atletas!$A$2:$A$302,A876)&gt;0,"Sí","No"))</f>
        <v/>
      </c>
    </row>
    <row r="877">
      <c r="A877" s="17" t="n"/>
      <c r="B877" s="17" t="n"/>
      <c r="C877" s="18" t="n"/>
      <c r="D877" s="19" t="n"/>
      <c r="E877" s="17" t="n"/>
      <c r="F877" s="21">
        <f>IF(OR(B877="",C877=""),"",IFERROR(INT(ROUND(IFERROR(TIMEVALUE(IF(LEN(C877)-LEN(SUBSTITUTE(C877,":",""))=2,"","0:")&amp;C877)*86400,"")/VALUE(SUBSTITUTE(B877,"K","")),0)/60)&amp;":"&amp;TEXT(MOD(ROUND(IFERROR(TIMEVALUE(IF(LEN(C877)-LEN(SUBSTITUTE(C877,":",""))=2,"","0:")&amp;C877)*86400,"")/VALUE(SUBSTITUTE(B877,"K","")),0),60),"00"),""))</f>
        <v/>
      </c>
      <c r="G877" s="21">
        <f>IF(A877="","",IF(COUNTIF(Atletas!$A$2:$A$302,A877)&gt;0,"Sí","No"))</f>
        <v/>
      </c>
    </row>
    <row r="878">
      <c r="A878" s="17" t="n"/>
      <c r="B878" s="17" t="n"/>
      <c r="C878" s="18" t="n"/>
      <c r="D878" s="19" t="n"/>
      <c r="E878" s="17" t="n"/>
      <c r="F878" s="21">
        <f>IF(OR(B878="",C878=""),"",IFERROR(INT(ROUND(IFERROR(TIMEVALUE(IF(LEN(C878)-LEN(SUBSTITUTE(C878,":",""))=2,"","0:")&amp;C878)*86400,"")/VALUE(SUBSTITUTE(B878,"K","")),0)/60)&amp;":"&amp;TEXT(MOD(ROUND(IFERROR(TIMEVALUE(IF(LEN(C878)-LEN(SUBSTITUTE(C878,":",""))=2,"","0:")&amp;C878)*86400,"")/VALUE(SUBSTITUTE(B878,"K","")),0),60),"00"),""))</f>
        <v/>
      </c>
      <c r="G878" s="21">
        <f>IF(A878="","",IF(COUNTIF(Atletas!$A$2:$A$302,A878)&gt;0,"Sí","No"))</f>
        <v/>
      </c>
    </row>
    <row r="879">
      <c r="A879" s="17" t="n"/>
      <c r="B879" s="17" t="n"/>
      <c r="C879" s="18" t="n"/>
      <c r="D879" s="19" t="n"/>
      <c r="E879" s="17" t="n"/>
      <c r="F879" s="21">
        <f>IF(OR(B879="",C879=""),"",IFERROR(INT(ROUND(IFERROR(TIMEVALUE(IF(LEN(C879)-LEN(SUBSTITUTE(C879,":",""))=2,"","0:")&amp;C879)*86400,"")/VALUE(SUBSTITUTE(B879,"K","")),0)/60)&amp;":"&amp;TEXT(MOD(ROUND(IFERROR(TIMEVALUE(IF(LEN(C879)-LEN(SUBSTITUTE(C879,":",""))=2,"","0:")&amp;C879)*86400,"")/VALUE(SUBSTITUTE(B879,"K","")),0),60),"00"),""))</f>
        <v/>
      </c>
      <c r="G879" s="21">
        <f>IF(A879="","",IF(COUNTIF(Atletas!$A$2:$A$302,A879)&gt;0,"Sí","No"))</f>
        <v/>
      </c>
    </row>
    <row r="880">
      <c r="A880" s="17" t="n"/>
      <c r="B880" s="17" t="n"/>
      <c r="C880" s="18" t="n"/>
      <c r="D880" s="19" t="n"/>
      <c r="E880" s="17" t="n"/>
      <c r="F880" s="21">
        <f>IF(OR(B880="",C880=""),"",IFERROR(INT(ROUND(IFERROR(TIMEVALUE(IF(LEN(C880)-LEN(SUBSTITUTE(C880,":",""))=2,"","0:")&amp;C880)*86400,"")/VALUE(SUBSTITUTE(B880,"K","")),0)/60)&amp;":"&amp;TEXT(MOD(ROUND(IFERROR(TIMEVALUE(IF(LEN(C880)-LEN(SUBSTITUTE(C880,":",""))=2,"","0:")&amp;C880)*86400,"")/VALUE(SUBSTITUTE(B880,"K","")),0),60),"00"),""))</f>
        <v/>
      </c>
      <c r="G880" s="21">
        <f>IF(A880="","",IF(COUNTIF(Atletas!$A$2:$A$302,A880)&gt;0,"Sí","No"))</f>
        <v/>
      </c>
    </row>
    <row r="881">
      <c r="A881" s="17" t="n"/>
      <c r="B881" s="17" t="n"/>
      <c r="C881" s="18" t="n"/>
      <c r="D881" s="19" t="n"/>
      <c r="E881" s="17" t="n"/>
      <c r="F881" s="21">
        <f>IF(OR(B881="",C881=""),"",IFERROR(INT(ROUND(IFERROR(TIMEVALUE(IF(LEN(C881)-LEN(SUBSTITUTE(C881,":",""))=2,"","0:")&amp;C881)*86400,"")/VALUE(SUBSTITUTE(B881,"K","")),0)/60)&amp;":"&amp;TEXT(MOD(ROUND(IFERROR(TIMEVALUE(IF(LEN(C881)-LEN(SUBSTITUTE(C881,":",""))=2,"","0:")&amp;C881)*86400,"")/VALUE(SUBSTITUTE(B881,"K","")),0),60),"00"),""))</f>
        <v/>
      </c>
      <c r="G881" s="21">
        <f>IF(A881="","",IF(COUNTIF(Atletas!$A$2:$A$302,A881)&gt;0,"Sí","No"))</f>
        <v/>
      </c>
    </row>
    <row r="882">
      <c r="A882" s="17" t="n"/>
      <c r="B882" s="17" t="n"/>
      <c r="C882" s="18" t="n"/>
      <c r="D882" s="19" t="n"/>
      <c r="E882" s="17" t="n"/>
      <c r="F882" s="21">
        <f>IF(OR(B882="",C882=""),"",IFERROR(INT(ROUND(IFERROR(TIMEVALUE(IF(LEN(C882)-LEN(SUBSTITUTE(C882,":",""))=2,"","0:")&amp;C882)*86400,"")/VALUE(SUBSTITUTE(B882,"K","")),0)/60)&amp;":"&amp;TEXT(MOD(ROUND(IFERROR(TIMEVALUE(IF(LEN(C882)-LEN(SUBSTITUTE(C882,":",""))=2,"","0:")&amp;C882)*86400,"")/VALUE(SUBSTITUTE(B882,"K","")),0),60),"00"),""))</f>
        <v/>
      </c>
      <c r="G882" s="21">
        <f>IF(A882="","",IF(COUNTIF(Atletas!$A$2:$A$302,A882)&gt;0,"Sí","No"))</f>
        <v/>
      </c>
    </row>
    <row r="883">
      <c r="A883" s="17" t="n"/>
      <c r="B883" s="17" t="n"/>
      <c r="C883" s="18" t="n"/>
      <c r="D883" s="19" t="n"/>
      <c r="E883" s="17" t="n"/>
      <c r="F883" s="21">
        <f>IF(OR(B883="",C883=""),"",IFERROR(INT(ROUND(IFERROR(TIMEVALUE(IF(LEN(C883)-LEN(SUBSTITUTE(C883,":",""))=2,"","0:")&amp;C883)*86400,"")/VALUE(SUBSTITUTE(B883,"K","")),0)/60)&amp;":"&amp;TEXT(MOD(ROUND(IFERROR(TIMEVALUE(IF(LEN(C883)-LEN(SUBSTITUTE(C883,":",""))=2,"","0:")&amp;C883)*86400,"")/VALUE(SUBSTITUTE(B883,"K","")),0),60),"00"),""))</f>
        <v/>
      </c>
      <c r="G883" s="21">
        <f>IF(A883="","",IF(COUNTIF(Atletas!$A$2:$A$302,A883)&gt;0,"Sí","No"))</f>
        <v/>
      </c>
    </row>
    <row r="884">
      <c r="A884" s="17" t="n"/>
      <c r="B884" s="17" t="n"/>
      <c r="C884" s="18" t="n"/>
      <c r="D884" s="19" t="n"/>
      <c r="E884" s="17" t="n"/>
      <c r="F884" s="21">
        <f>IF(OR(B884="",C884=""),"",IFERROR(INT(ROUND(IFERROR(TIMEVALUE(IF(LEN(C884)-LEN(SUBSTITUTE(C884,":",""))=2,"","0:")&amp;C884)*86400,"")/VALUE(SUBSTITUTE(B884,"K","")),0)/60)&amp;":"&amp;TEXT(MOD(ROUND(IFERROR(TIMEVALUE(IF(LEN(C884)-LEN(SUBSTITUTE(C884,":",""))=2,"","0:")&amp;C884)*86400,"")/VALUE(SUBSTITUTE(B884,"K","")),0),60),"00"),""))</f>
        <v/>
      </c>
      <c r="G884" s="21">
        <f>IF(A884="","",IF(COUNTIF(Atletas!$A$2:$A$302,A884)&gt;0,"Sí","No"))</f>
        <v/>
      </c>
    </row>
    <row r="885">
      <c r="A885" s="17" t="n"/>
      <c r="B885" s="17" t="n"/>
      <c r="C885" s="18" t="n"/>
      <c r="D885" s="19" t="n"/>
      <c r="E885" s="17" t="n"/>
      <c r="F885" s="21">
        <f>IF(OR(B885="",C885=""),"",IFERROR(INT(ROUND(IFERROR(TIMEVALUE(IF(LEN(C885)-LEN(SUBSTITUTE(C885,":",""))=2,"","0:")&amp;C885)*86400,"")/VALUE(SUBSTITUTE(B885,"K","")),0)/60)&amp;":"&amp;TEXT(MOD(ROUND(IFERROR(TIMEVALUE(IF(LEN(C885)-LEN(SUBSTITUTE(C885,":",""))=2,"","0:")&amp;C885)*86400,"")/VALUE(SUBSTITUTE(B885,"K","")),0),60),"00"),""))</f>
        <v/>
      </c>
      <c r="G885" s="21">
        <f>IF(A885="","",IF(COUNTIF(Atletas!$A$2:$A$302,A885)&gt;0,"Sí","No"))</f>
        <v/>
      </c>
    </row>
    <row r="886">
      <c r="A886" s="17" t="n"/>
      <c r="B886" s="17" t="n"/>
      <c r="C886" s="18" t="n"/>
      <c r="D886" s="19" t="n"/>
      <c r="E886" s="17" t="n"/>
      <c r="F886" s="21">
        <f>IF(OR(B886="",C886=""),"",IFERROR(INT(ROUND(IFERROR(TIMEVALUE(IF(LEN(C886)-LEN(SUBSTITUTE(C886,":",""))=2,"","0:")&amp;C886)*86400,"")/VALUE(SUBSTITUTE(B886,"K","")),0)/60)&amp;":"&amp;TEXT(MOD(ROUND(IFERROR(TIMEVALUE(IF(LEN(C886)-LEN(SUBSTITUTE(C886,":",""))=2,"","0:")&amp;C886)*86400,"")/VALUE(SUBSTITUTE(B886,"K","")),0),60),"00"),""))</f>
        <v/>
      </c>
      <c r="G886" s="21">
        <f>IF(A886="","",IF(COUNTIF(Atletas!$A$2:$A$302,A886)&gt;0,"Sí","No"))</f>
        <v/>
      </c>
    </row>
    <row r="887">
      <c r="A887" s="17" t="n"/>
      <c r="B887" s="17" t="n"/>
      <c r="C887" s="18" t="n"/>
      <c r="D887" s="19" t="n"/>
      <c r="E887" s="17" t="n"/>
      <c r="F887" s="21">
        <f>IF(OR(B887="",C887=""),"",IFERROR(INT(ROUND(IFERROR(TIMEVALUE(IF(LEN(C887)-LEN(SUBSTITUTE(C887,":",""))=2,"","0:")&amp;C887)*86400,"")/VALUE(SUBSTITUTE(B887,"K","")),0)/60)&amp;":"&amp;TEXT(MOD(ROUND(IFERROR(TIMEVALUE(IF(LEN(C887)-LEN(SUBSTITUTE(C887,":",""))=2,"","0:")&amp;C887)*86400,"")/VALUE(SUBSTITUTE(B887,"K","")),0),60),"00"),""))</f>
        <v/>
      </c>
      <c r="G887" s="21">
        <f>IF(A887="","",IF(COUNTIF(Atletas!$A$2:$A$302,A887)&gt;0,"Sí","No"))</f>
        <v/>
      </c>
    </row>
    <row r="888">
      <c r="A888" s="17" t="n"/>
      <c r="B888" s="17" t="n"/>
      <c r="C888" s="18" t="n"/>
      <c r="D888" s="19" t="n"/>
      <c r="E888" s="17" t="n"/>
      <c r="F888" s="21">
        <f>IF(OR(B888="",C888=""),"",IFERROR(INT(ROUND(IFERROR(TIMEVALUE(IF(LEN(C888)-LEN(SUBSTITUTE(C888,":",""))=2,"","0:")&amp;C888)*86400,"")/VALUE(SUBSTITUTE(B888,"K","")),0)/60)&amp;":"&amp;TEXT(MOD(ROUND(IFERROR(TIMEVALUE(IF(LEN(C888)-LEN(SUBSTITUTE(C888,":",""))=2,"","0:")&amp;C888)*86400,"")/VALUE(SUBSTITUTE(B888,"K","")),0),60),"00"),""))</f>
        <v/>
      </c>
      <c r="G888" s="21">
        <f>IF(A888="","",IF(COUNTIF(Atletas!$A$2:$A$302,A888)&gt;0,"Sí","No"))</f>
        <v/>
      </c>
    </row>
    <row r="889">
      <c r="A889" s="17" t="n"/>
      <c r="B889" s="17" t="n"/>
      <c r="C889" s="18" t="n"/>
      <c r="D889" s="19" t="n"/>
      <c r="E889" s="17" t="n"/>
      <c r="F889" s="21">
        <f>IF(OR(B889="",C889=""),"",IFERROR(INT(ROUND(IFERROR(TIMEVALUE(IF(LEN(C889)-LEN(SUBSTITUTE(C889,":",""))=2,"","0:")&amp;C889)*86400,"")/VALUE(SUBSTITUTE(B889,"K","")),0)/60)&amp;":"&amp;TEXT(MOD(ROUND(IFERROR(TIMEVALUE(IF(LEN(C889)-LEN(SUBSTITUTE(C889,":",""))=2,"","0:")&amp;C889)*86400,"")/VALUE(SUBSTITUTE(B889,"K","")),0),60),"00"),""))</f>
        <v/>
      </c>
      <c r="G889" s="21">
        <f>IF(A889="","",IF(COUNTIF(Atletas!$A$2:$A$302,A889)&gt;0,"Sí","No"))</f>
        <v/>
      </c>
    </row>
    <row r="890">
      <c r="A890" s="17" t="n"/>
      <c r="B890" s="17" t="n"/>
      <c r="C890" s="18" t="n"/>
      <c r="D890" s="19" t="n"/>
      <c r="E890" s="17" t="n"/>
      <c r="F890" s="21">
        <f>IF(OR(B890="",C890=""),"",IFERROR(INT(ROUND(IFERROR(TIMEVALUE(IF(LEN(C890)-LEN(SUBSTITUTE(C890,":",""))=2,"","0:")&amp;C890)*86400,"")/VALUE(SUBSTITUTE(B890,"K","")),0)/60)&amp;":"&amp;TEXT(MOD(ROUND(IFERROR(TIMEVALUE(IF(LEN(C890)-LEN(SUBSTITUTE(C890,":",""))=2,"","0:")&amp;C890)*86400,"")/VALUE(SUBSTITUTE(B890,"K","")),0),60),"00"),""))</f>
        <v/>
      </c>
      <c r="G890" s="21">
        <f>IF(A890="","",IF(COUNTIF(Atletas!$A$2:$A$302,A890)&gt;0,"Sí","No"))</f>
        <v/>
      </c>
    </row>
    <row r="891">
      <c r="A891" s="17" t="n"/>
      <c r="B891" s="17" t="n"/>
      <c r="C891" s="18" t="n"/>
      <c r="D891" s="19" t="n"/>
      <c r="E891" s="17" t="n"/>
      <c r="F891" s="21">
        <f>IF(OR(B891="",C891=""),"",IFERROR(INT(ROUND(IFERROR(TIMEVALUE(IF(LEN(C891)-LEN(SUBSTITUTE(C891,":",""))=2,"","0:")&amp;C891)*86400,"")/VALUE(SUBSTITUTE(B891,"K","")),0)/60)&amp;":"&amp;TEXT(MOD(ROUND(IFERROR(TIMEVALUE(IF(LEN(C891)-LEN(SUBSTITUTE(C891,":",""))=2,"","0:")&amp;C891)*86400,"")/VALUE(SUBSTITUTE(B891,"K","")),0),60),"00"),""))</f>
        <v/>
      </c>
      <c r="G891" s="21">
        <f>IF(A891="","",IF(COUNTIF(Atletas!$A$2:$A$302,A891)&gt;0,"Sí","No"))</f>
        <v/>
      </c>
    </row>
    <row r="892">
      <c r="A892" s="17" t="n"/>
      <c r="B892" s="17" t="n"/>
      <c r="C892" s="18" t="n"/>
      <c r="D892" s="19" t="n"/>
      <c r="E892" s="17" t="n"/>
      <c r="F892" s="21">
        <f>IF(OR(B892="",C892=""),"",IFERROR(INT(ROUND(IFERROR(TIMEVALUE(IF(LEN(C892)-LEN(SUBSTITUTE(C892,":",""))=2,"","0:")&amp;C892)*86400,"")/VALUE(SUBSTITUTE(B892,"K","")),0)/60)&amp;":"&amp;TEXT(MOD(ROUND(IFERROR(TIMEVALUE(IF(LEN(C892)-LEN(SUBSTITUTE(C892,":",""))=2,"","0:")&amp;C892)*86400,"")/VALUE(SUBSTITUTE(B892,"K","")),0),60),"00"),""))</f>
        <v/>
      </c>
      <c r="G892" s="21">
        <f>IF(A892="","",IF(COUNTIF(Atletas!$A$2:$A$302,A892)&gt;0,"Sí","No"))</f>
        <v/>
      </c>
    </row>
    <row r="893">
      <c r="A893" s="17" t="n"/>
      <c r="B893" s="17" t="n"/>
      <c r="C893" s="18" t="n"/>
      <c r="D893" s="19" t="n"/>
      <c r="E893" s="17" t="n"/>
      <c r="F893" s="21">
        <f>IF(OR(B893="",C893=""),"",IFERROR(INT(ROUND(IFERROR(TIMEVALUE(IF(LEN(C893)-LEN(SUBSTITUTE(C893,":",""))=2,"","0:")&amp;C893)*86400,"")/VALUE(SUBSTITUTE(B893,"K","")),0)/60)&amp;":"&amp;TEXT(MOD(ROUND(IFERROR(TIMEVALUE(IF(LEN(C893)-LEN(SUBSTITUTE(C893,":",""))=2,"","0:")&amp;C893)*86400,"")/VALUE(SUBSTITUTE(B893,"K","")),0),60),"00"),""))</f>
        <v/>
      </c>
      <c r="G893" s="21">
        <f>IF(A893="","",IF(COUNTIF(Atletas!$A$2:$A$302,A893)&gt;0,"Sí","No"))</f>
        <v/>
      </c>
    </row>
    <row r="894">
      <c r="A894" s="17" t="n"/>
      <c r="B894" s="17" t="n"/>
      <c r="C894" s="18" t="n"/>
      <c r="D894" s="19" t="n"/>
      <c r="E894" s="17" t="n"/>
      <c r="F894" s="21">
        <f>IF(OR(B894="",C894=""),"",IFERROR(INT(ROUND(IFERROR(TIMEVALUE(IF(LEN(C894)-LEN(SUBSTITUTE(C894,":",""))=2,"","0:")&amp;C894)*86400,"")/VALUE(SUBSTITUTE(B894,"K","")),0)/60)&amp;":"&amp;TEXT(MOD(ROUND(IFERROR(TIMEVALUE(IF(LEN(C894)-LEN(SUBSTITUTE(C894,":",""))=2,"","0:")&amp;C894)*86400,"")/VALUE(SUBSTITUTE(B894,"K","")),0),60),"00"),""))</f>
        <v/>
      </c>
      <c r="G894" s="21">
        <f>IF(A894="","",IF(COUNTIF(Atletas!$A$2:$A$302,A894)&gt;0,"Sí","No"))</f>
        <v/>
      </c>
    </row>
    <row r="895">
      <c r="A895" s="17" t="n"/>
      <c r="B895" s="17" t="n"/>
      <c r="C895" s="18" t="n"/>
      <c r="D895" s="19" t="n"/>
      <c r="E895" s="17" t="n"/>
      <c r="F895" s="21">
        <f>IF(OR(B895="",C895=""),"",IFERROR(INT(ROUND(IFERROR(TIMEVALUE(IF(LEN(C895)-LEN(SUBSTITUTE(C895,":",""))=2,"","0:")&amp;C895)*86400,"")/VALUE(SUBSTITUTE(B895,"K","")),0)/60)&amp;":"&amp;TEXT(MOD(ROUND(IFERROR(TIMEVALUE(IF(LEN(C895)-LEN(SUBSTITUTE(C895,":",""))=2,"","0:")&amp;C895)*86400,"")/VALUE(SUBSTITUTE(B895,"K","")),0),60),"00"),""))</f>
        <v/>
      </c>
      <c r="G895" s="21">
        <f>IF(A895="","",IF(COUNTIF(Atletas!$A$2:$A$302,A895)&gt;0,"Sí","No"))</f>
        <v/>
      </c>
    </row>
    <row r="896">
      <c r="A896" s="17" t="n"/>
      <c r="B896" s="17" t="n"/>
      <c r="C896" s="18" t="n"/>
      <c r="D896" s="19" t="n"/>
      <c r="E896" s="17" t="n"/>
      <c r="F896" s="21">
        <f>IF(OR(B896="",C896=""),"",IFERROR(INT(ROUND(IFERROR(TIMEVALUE(IF(LEN(C896)-LEN(SUBSTITUTE(C896,":",""))=2,"","0:")&amp;C896)*86400,"")/VALUE(SUBSTITUTE(B896,"K","")),0)/60)&amp;":"&amp;TEXT(MOD(ROUND(IFERROR(TIMEVALUE(IF(LEN(C896)-LEN(SUBSTITUTE(C896,":",""))=2,"","0:")&amp;C896)*86400,"")/VALUE(SUBSTITUTE(B896,"K","")),0),60),"00"),""))</f>
        <v/>
      </c>
      <c r="G896" s="21">
        <f>IF(A896="","",IF(COUNTIF(Atletas!$A$2:$A$302,A896)&gt;0,"Sí","No"))</f>
        <v/>
      </c>
    </row>
    <row r="897">
      <c r="A897" s="17" t="n"/>
      <c r="B897" s="17" t="n"/>
      <c r="C897" s="18" t="n"/>
      <c r="D897" s="19" t="n"/>
      <c r="E897" s="17" t="n"/>
      <c r="F897" s="21">
        <f>IF(OR(B897="",C897=""),"",IFERROR(INT(ROUND(IFERROR(TIMEVALUE(IF(LEN(C897)-LEN(SUBSTITUTE(C897,":",""))=2,"","0:")&amp;C897)*86400,"")/VALUE(SUBSTITUTE(B897,"K","")),0)/60)&amp;":"&amp;TEXT(MOD(ROUND(IFERROR(TIMEVALUE(IF(LEN(C897)-LEN(SUBSTITUTE(C897,":",""))=2,"","0:")&amp;C897)*86400,"")/VALUE(SUBSTITUTE(B897,"K","")),0),60),"00"),""))</f>
        <v/>
      </c>
      <c r="G897" s="21">
        <f>IF(A897="","",IF(COUNTIF(Atletas!$A$2:$A$302,A897)&gt;0,"Sí","No"))</f>
        <v/>
      </c>
    </row>
    <row r="898">
      <c r="A898" s="17" t="n"/>
      <c r="B898" s="17" t="n"/>
      <c r="C898" s="18" t="n"/>
      <c r="D898" s="19" t="n"/>
      <c r="E898" s="17" t="n"/>
      <c r="F898" s="21">
        <f>IF(OR(B898="",C898=""),"",IFERROR(INT(ROUND(IFERROR(TIMEVALUE(IF(LEN(C898)-LEN(SUBSTITUTE(C898,":",""))=2,"","0:")&amp;C898)*86400,"")/VALUE(SUBSTITUTE(B898,"K","")),0)/60)&amp;":"&amp;TEXT(MOD(ROUND(IFERROR(TIMEVALUE(IF(LEN(C898)-LEN(SUBSTITUTE(C898,":",""))=2,"","0:")&amp;C898)*86400,"")/VALUE(SUBSTITUTE(B898,"K","")),0),60),"00"),""))</f>
        <v/>
      </c>
      <c r="G898" s="21">
        <f>IF(A898="","",IF(COUNTIF(Atletas!$A$2:$A$302,A898)&gt;0,"Sí","No"))</f>
        <v/>
      </c>
    </row>
    <row r="899">
      <c r="A899" s="17" t="n"/>
      <c r="B899" s="17" t="n"/>
      <c r="C899" s="18" t="n"/>
      <c r="D899" s="19" t="n"/>
      <c r="E899" s="17" t="n"/>
      <c r="F899" s="21">
        <f>IF(OR(B899="",C899=""),"",IFERROR(INT(ROUND(IFERROR(TIMEVALUE(IF(LEN(C899)-LEN(SUBSTITUTE(C899,":",""))=2,"","0:")&amp;C899)*86400,"")/VALUE(SUBSTITUTE(B899,"K","")),0)/60)&amp;":"&amp;TEXT(MOD(ROUND(IFERROR(TIMEVALUE(IF(LEN(C899)-LEN(SUBSTITUTE(C899,":",""))=2,"","0:")&amp;C899)*86400,"")/VALUE(SUBSTITUTE(B899,"K","")),0),60),"00"),""))</f>
        <v/>
      </c>
      <c r="G899" s="21">
        <f>IF(A899="","",IF(COUNTIF(Atletas!$A$2:$A$302,A899)&gt;0,"Sí","No"))</f>
        <v/>
      </c>
    </row>
    <row r="900">
      <c r="A900" s="17" t="n"/>
      <c r="B900" s="17" t="n"/>
      <c r="C900" s="18" t="n"/>
      <c r="D900" s="19" t="n"/>
      <c r="E900" s="17" t="n"/>
      <c r="F900" s="21">
        <f>IF(OR(B900="",C900=""),"",IFERROR(INT(ROUND(IFERROR(TIMEVALUE(IF(LEN(C900)-LEN(SUBSTITUTE(C900,":",""))=2,"","0:")&amp;C900)*86400,"")/VALUE(SUBSTITUTE(B900,"K","")),0)/60)&amp;":"&amp;TEXT(MOD(ROUND(IFERROR(TIMEVALUE(IF(LEN(C900)-LEN(SUBSTITUTE(C900,":",""))=2,"","0:")&amp;C900)*86400,"")/VALUE(SUBSTITUTE(B900,"K","")),0),60),"00"),""))</f>
        <v/>
      </c>
      <c r="G900" s="21">
        <f>IF(A900="","",IF(COUNTIF(Atletas!$A$2:$A$302,A900)&gt;0,"Sí","No"))</f>
        <v/>
      </c>
    </row>
    <row r="901">
      <c r="A901" s="17" t="n"/>
      <c r="B901" s="17" t="n"/>
      <c r="C901" s="18" t="n"/>
      <c r="D901" s="19" t="n"/>
      <c r="E901" s="17" t="n"/>
      <c r="F901" s="21">
        <f>IF(OR(B901="",C901=""),"",IFERROR(INT(ROUND(IFERROR(TIMEVALUE(IF(LEN(C901)-LEN(SUBSTITUTE(C901,":",""))=2,"","0:")&amp;C901)*86400,"")/VALUE(SUBSTITUTE(B901,"K","")),0)/60)&amp;":"&amp;TEXT(MOD(ROUND(IFERROR(TIMEVALUE(IF(LEN(C901)-LEN(SUBSTITUTE(C901,":",""))=2,"","0:")&amp;C901)*86400,"")/VALUE(SUBSTITUTE(B901,"K","")),0),60),"00"),""))</f>
        <v/>
      </c>
      <c r="G901" s="21">
        <f>IF(A901="","",IF(COUNTIF(Atletas!$A$2:$A$302,A901)&gt;0,"Sí","No"))</f>
        <v/>
      </c>
    </row>
    <row r="902">
      <c r="A902" s="17" t="n"/>
      <c r="B902" s="17" t="n"/>
      <c r="C902" s="18" t="n"/>
      <c r="D902" s="19" t="n"/>
      <c r="E902" s="17" t="n"/>
      <c r="F902" s="21">
        <f>IF(OR(B902="",C902=""),"",IFERROR(INT(ROUND(IFERROR(TIMEVALUE(IF(LEN(C902)-LEN(SUBSTITUTE(C902,":",""))=2,"","0:")&amp;C902)*86400,"")/VALUE(SUBSTITUTE(B902,"K","")),0)/60)&amp;":"&amp;TEXT(MOD(ROUND(IFERROR(TIMEVALUE(IF(LEN(C902)-LEN(SUBSTITUTE(C902,":",""))=2,"","0:")&amp;C902)*86400,"")/VALUE(SUBSTITUTE(B902,"K","")),0),60),"00"),""))</f>
        <v/>
      </c>
      <c r="G902" s="21">
        <f>IF(A902="","",IF(COUNTIF(Atletas!$A$2:$A$302,A902)&gt;0,"Sí","No"))</f>
        <v/>
      </c>
    </row>
    <row r="903">
      <c r="A903" s="17" t="n"/>
      <c r="B903" s="17" t="n"/>
      <c r="C903" s="18" t="n"/>
      <c r="D903" s="19" t="n"/>
      <c r="E903" s="17" t="n"/>
      <c r="F903" s="21">
        <f>IF(OR(B903="",C903=""),"",IFERROR(INT(ROUND(IFERROR(TIMEVALUE(IF(LEN(C903)-LEN(SUBSTITUTE(C903,":",""))=2,"","0:")&amp;C903)*86400,"")/VALUE(SUBSTITUTE(B903,"K","")),0)/60)&amp;":"&amp;TEXT(MOD(ROUND(IFERROR(TIMEVALUE(IF(LEN(C903)-LEN(SUBSTITUTE(C903,":",""))=2,"","0:")&amp;C903)*86400,"")/VALUE(SUBSTITUTE(B903,"K","")),0),60),"00"),""))</f>
        <v/>
      </c>
      <c r="G903" s="21">
        <f>IF(A903="","",IF(COUNTIF(Atletas!$A$2:$A$302,A903)&gt;0,"Sí","No"))</f>
        <v/>
      </c>
    </row>
    <row r="904">
      <c r="A904" s="17" t="n"/>
      <c r="B904" s="17" t="n"/>
      <c r="C904" s="18" t="n"/>
      <c r="D904" s="19" t="n"/>
      <c r="E904" s="17" t="n"/>
      <c r="F904" s="21">
        <f>IF(OR(B904="",C904=""),"",IFERROR(INT(ROUND(IFERROR(TIMEVALUE(IF(LEN(C904)-LEN(SUBSTITUTE(C904,":",""))=2,"","0:")&amp;C904)*86400,"")/VALUE(SUBSTITUTE(B904,"K","")),0)/60)&amp;":"&amp;TEXT(MOD(ROUND(IFERROR(TIMEVALUE(IF(LEN(C904)-LEN(SUBSTITUTE(C904,":",""))=2,"","0:")&amp;C904)*86400,"")/VALUE(SUBSTITUTE(B904,"K","")),0),60),"00"),""))</f>
        <v/>
      </c>
      <c r="G904" s="21">
        <f>IF(A904="","",IF(COUNTIF(Atletas!$A$2:$A$302,A904)&gt;0,"Sí","No"))</f>
        <v/>
      </c>
    </row>
    <row r="905">
      <c r="A905" s="17" t="n"/>
      <c r="B905" s="17" t="n"/>
      <c r="C905" s="18" t="n"/>
      <c r="D905" s="19" t="n"/>
      <c r="E905" s="17" t="n"/>
      <c r="F905" s="21">
        <f>IF(OR(B905="",C905=""),"",IFERROR(INT(ROUND(IFERROR(TIMEVALUE(IF(LEN(C905)-LEN(SUBSTITUTE(C905,":",""))=2,"","0:")&amp;C905)*86400,"")/VALUE(SUBSTITUTE(B905,"K","")),0)/60)&amp;":"&amp;TEXT(MOD(ROUND(IFERROR(TIMEVALUE(IF(LEN(C905)-LEN(SUBSTITUTE(C905,":",""))=2,"","0:")&amp;C905)*86400,"")/VALUE(SUBSTITUTE(B905,"K","")),0),60),"00"),""))</f>
        <v/>
      </c>
      <c r="G905" s="21">
        <f>IF(A905="","",IF(COUNTIF(Atletas!$A$2:$A$302,A905)&gt;0,"Sí","No"))</f>
        <v/>
      </c>
    </row>
    <row r="906">
      <c r="A906" s="17" t="n"/>
      <c r="B906" s="17" t="n"/>
      <c r="C906" s="18" t="n"/>
      <c r="D906" s="19" t="n"/>
      <c r="E906" s="17" t="n"/>
      <c r="F906" s="21">
        <f>IF(OR(B906="",C906=""),"",IFERROR(INT(ROUND(IFERROR(TIMEVALUE(IF(LEN(C906)-LEN(SUBSTITUTE(C906,":",""))=2,"","0:")&amp;C906)*86400,"")/VALUE(SUBSTITUTE(B906,"K","")),0)/60)&amp;":"&amp;TEXT(MOD(ROUND(IFERROR(TIMEVALUE(IF(LEN(C906)-LEN(SUBSTITUTE(C906,":",""))=2,"","0:")&amp;C906)*86400,"")/VALUE(SUBSTITUTE(B906,"K","")),0),60),"00"),""))</f>
        <v/>
      </c>
      <c r="G906" s="21">
        <f>IF(A906="","",IF(COUNTIF(Atletas!$A$2:$A$302,A906)&gt;0,"Sí","No"))</f>
        <v/>
      </c>
    </row>
    <row r="907">
      <c r="A907" s="17" t="n"/>
      <c r="B907" s="17" t="n"/>
      <c r="C907" s="18" t="n"/>
      <c r="D907" s="19" t="n"/>
      <c r="E907" s="17" t="n"/>
      <c r="F907" s="21">
        <f>IF(OR(B907="",C907=""),"",IFERROR(INT(ROUND(IFERROR(TIMEVALUE(IF(LEN(C907)-LEN(SUBSTITUTE(C907,":",""))=2,"","0:")&amp;C907)*86400,"")/VALUE(SUBSTITUTE(B907,"K","")),0)/60)&amp;":"&amp;TEXT(MOD(ROUND(IFERROR(TIMEVALUE(IF(LEN(C907)-LEN(SUBSTITUTE(C907,":",""))=2,"","0:")&amp;C907)*86400,"")/VALUE(SUBSTITUTE(B907,"K","")),0),60),"00"),""))</f>
        <v/>
      </c>
      <c r="G907" s="21">
        <f>IF(A907="","",IF(COUNTIF(Atletas!$A$2:$A$302,A907)&gt;0,"Sí","No"))</f>
        <v/>
      </c>
    </row>
    <row r="908">
      <c r="A908" s="17" t="n"/>
      <c r="B908" s="17" t="n"/>
      <c r="C908" s="18" t="n"/>
      <c r="D908" s="19" t="n"/>
      <c r="E908" s="17" t="n"/>
      <c r="F908" s="21">
        <f>IF(OR(B908="",C908=""),"",IFERROR(INT(ROUND(IFERROR(TIMEVALUE(IF(LEN(C908)-LEN(SUBSTITUTE(C908,":",""))=2,"","0:")&amp;C908)*86400,"")/VALUE(SUBSTITUTE(B908,"K","")),0)/60)&amp;":"&amp;TEXT(MOD(ROUND(IFERROR(TIMEVALUE(IF(LEN(C908)-LEN(SUBSTITUTE(C908,":",""))=2,"","0:")&amp;C908)*86400,"")/VALUE(SUBSTITUTE(B908,"K","")),0),60),"00"),""))</f>
        <v/>
      </c>
      <c r="G908" s="21">
        <f>IF(A908="","",IF(COUNTIF(Atletas!$A$2:$A$302,A908)&gt;0,"Sí","No"))</f>
        <v/>
      </c>
    </row>
    <row r="909">
      <c r="A909" s="17" t="n"/>
      <c r="B909" s="17" t="n"/>
      <c r="C909" s="18" t="n"/>
      <c r="D909" s="19" t="n"/>
      <c r="E909" s="17" t="n"/>
      <c r="F909" s="21">
        <f>IF(OR(B909="",C909=""),"",IFERROR(INT(ROUND(IFERROR(TIMEVALUE(IF(LEN(C909)-LEN(SUBSTITUTE(C909,":",""))=2,"","0:")&amp;C909)*86400,"")/VALUE(SUBSTITUTE(B909,"K","")),0)/60)&amp;":"&amp;TEXT(MOD(ROUND(IFERROR(TIMEVALUE(IF(LEN(C909)-LEN(SUBSTITUTE(C909,":",""))=2,"","0:")&amp;C909)*86400,"")/VALUE(SUBSTITUTE(B909,"K","")),0),60),"00"),""))</f>
        <v/>
      </c>
      <c r="G909" s="21">
        <f>IF(A909="","",IF(COUNTIF(Atletas!$A$2:$A$302,A909)&gt;0,"Sí","No"))</f>
        <v/>
      </c>
    </row>
    <row r="910">
      <c r="A910" s="17" t="n"/>
      <c r="B910" s="17" t="n"/>
      <c r="C910" s="18" t="n"/>
      <c r="D910" s="19" t="n"/>
      <c r="E910" s="17" t="n"/>
      <c r="F910" s="21">
        <f>IF(OR(B910="",C910=""),"",IFERROR(INT(ROUND(IFERROR(TIMEVALUE(IF(LEN(C910)-LEN(SUBSTITUTE(C910,":",""))=2,"","0:")&amp;C910)*86400,"")/VALUE(SUBSTITUTE(B910,"K","")),0)/60)&amp;":"&amp;TEXT(MOD(ROUND(IFERROR(TIMEVALUE(IF(LEN(C910)-LEN(SUBSTITUTE(C910,":",""))=2,"","0:")&amp;C910)*86400,"")/VALUE(SUBSTITUTE(B910,"K","")),0),60),"00"),""))</f>
        <v/>
      </c>
      <c r="G910" s="21">
        <f>IF(A910="","",IF(COUNTIF(Atletas!$A$2:$A$302,A910)&gt;0,"Sí","No"))</f>
        <v/>
      </c>
    </row>
    <row r="911">
      <c r="A911" s="17" t="n"/>
      <c r="B911" s="17" t="n"/>
      <c r="C911" s="18" t="n"/>
      <c r="D911" s="19" t="n"/>
      <c r="E911" s="17" t="n"/>
      <c r="F911" s="21">
        <f>IF(OR(B911="",C911=""),"",IFERROR(INT(ROUND(IFERROR(TIMEVALUE(IF(LEN(C911)-LEN(SUBSTITUTE(C911,":",""))=2,"","0:")&amp;C911)*86400,"")/VALUE(SUBSTITUTE(B911,"K","")),0)/60)&amp;":"&amp;TEXT(MOD(ROUND(IFERROR(TIMEVALUE(IF(LEN(C911)-LEN(SUBSTITUTE(C911,":",""))=2,"","0:")&amp;C911)*86400,"")/VALUE(SUBSTITUTE(B911,"K","")),0),60),"00"),""))</f>
        <v/>
      </c>
      <c r="G911" s="21">
        <f>IF(A911="","",IF(COUNTIF(Atletas!$A$2:$A$302,A911)&gt;0,"Sí","No"))</f>
        <v/>
      </c>
    </row>
    <row r="912">
      <c r="A912" s="17" t="n"/>
      <c r="B912" s="17" t="n"/>
      <c r="C912" s="18" t="n"/>
      <c r="D912" s="19" t="n"/>
      <c r="E912" s="17" t="n"/>
      <c r="F912" s="21">
        <f>IF(OR(B912="",C912=""),"",IFERROR(INT(ROUND(IFERROR(TIMEVALUE(IF(LEN(C912)-LEN(SUBSTITUTE(C912,":",""))=2,"","0:")&amp;C912)*86400,"")/VALUE(SUBSTITUTE(B912,"K","")),0)/60)&amp;":"&amp;TEXT(MOD(ROUND(IFERROR(TIMEVALUE(IF(LEN(C912)-LEN(SUBSTITUTE(C912,":",""))=2,"","0:")&amp;C912)*86400,"")/VALUE(SUBSTITUTE(B912,"K","")),0),60),"00"),""))</f>
        <v/>
      </c>
      <c r="G912" s="21">
        <f>IF(A912="","",IF(COUNTIF(Atletas!$A$2:$A$302,A912)&gt;0,"Sí","No"))</f>
        <v/>
      </c>
    </row>
    <row r="913">
      <c r="A913" s="17" t="n"/>
      <c r="B913" s="17" t="n"/>
      <c r="C913" s="18" t="n"/>
      <c r="D913" s="19" t="n"/>
      <c r="E913" s="17" t="n"/>
      <c r="F913" s="21">
        <f>IF(OR(B913="",C913=""),"",IFERROR(INT(ROUND(IFERROR(TIMEVALUE(IF(LEN(C913)-LEN(SUBSTITUTE(C913,":",""))=2,"","0:")&amp;C913)*86400,"")/VALUE(SUBSTITUTE(B913,"K","")),0)/60)&amp;":"&amp;TEXT(MOD(ROUND(IFERROR(TIMEVALUE(IF(LEN(C913)-LEN(SUBSTITUTE(C913,":",""))=2,"","0:")&amp;C913)*86400,"")/VALUE(SUBSTITUTE(B913,"K","")),0),60),"00"),""))</f>
        <v/>
      </c>
      <c r="G913" s="21">
        <f>IF(A913="","",IF(COUNTIF(Atletas!$A$2:$A$302,A913)&gt;0,"Sí","No"))</f>
        <v/>
      </c>
    </row>
    <row r="914">
      <c r="A914" s="17" t="n"/>
      <c r="B914" s="17" t="n"/>
      <c r="C914" s="18" t="n"/>
      <c r="D914" s="19" t="n"/>
      <c r="E914" s="17" t="n"/>
      <c r="F914" s="21">
        <f>IF(OR(B914="",C914=""),"",IFERROR(INT(ROUND(IFERROR(TIMEVALUE(IF(LEN(C914)-LEN(SUBSTITUTE(C914,":",""))=2,"","0:")&amp;C914)*86400,"")/VALUE(SUBSTITUTE(B914,"K","")),0)/60)&amp;":"&amp;TEXT(MOD(ROUND(IFERROR(TIMEVALUE(IF(LEN(C914)-LEN(SUBSTITUTE(C914,":",""))=2,"","0:")&amp;C914)*86400,"")/VALUE(SUBSTITUTE(B914,"K","")),0),60),"00"),""))</f>
        <v/>
      </c>
      <c r="G914" s="21">
        <f>IF(A914="","",IF(COUNTIF(Atletas!$A$2:$A$302,A914)&gt;0,"Sí","No"))</f>
        <v/>
      </c>
    </row>
    <row r="915">
      <c r="A915" s="17" t="n"/>
      <c r="B915" s="17" t="n"/>
      <c r="C915" s="18" t="n"/>
      <c r="D915" s="19" t="n"/>
      <c r="E915" s="17" t="n"/>
      <c r="F915" s="21">
        <f>IF(OR(B915="",C915=""),"",IFERROR(INT(ROUND(IFERROR(TIMEVALUE(IF(LEN(C915)-LEN(SUBSTITUTE(C915,":",""))=2,"","0:")&amp;C915)*86400,"")/VALUE(SUBSTITUTE(B915,"K","")),0)/60)&amp;":"&amp;TEXT(MOD(ROUND(IFERROR(TIMEVALUE(IF(LEN(C915)-LEN(SUBSTITUTE(C915,":",""))=2,"","0:")&amp;C915)*86400,"")/VALUE(SUBSTITUTE(B915,"K","")),0),60),"00"),""))</f>
        <v/>
      </c>
      <c r="G915" s="21">
        <f>IF(A915="","",IF(COUNTIF(Atletas!$A$2:$A$302,A915)&gt;0,"Sí","No"))</f>
        <v/>
      </c>
    </row>
    <row r="916">
      <c r="A916" s="17" t="n"/>
      <c r="B916" s="17" t="n"/>
      <c r="C916" s="18" t="n"/>
      <c r="D916" s="19" t="n"/>
      <c r="E916" s="17" t="n"/>
      <c r="F916" s="21">
        <f>IF(OR(B916="",C916=""),"",IFERROR(INT(ROUND(IFERROR(TIMEVALUE(IF(LEN(C916)-LEN(SUBSTITUTE(C916,":",""))=2,"","0:")&amp;C916)*86400,"")/VALUE(SUBSTITUTE(B916,"K","")),0)/60)&amp;":"&amp;TEXT(MOD(ROUND(IFERROR(TIMEVALUE(IF(LEN(C916)-LEN(SUBSTITUTE(C916,":",""))=2,"","0:")&amp;C916)*86400,"")/VALUE(SUBSTITUTE(B916,"K","")),0),60),"00"),""))</f>
        <v/>
      </c>
      <c r="G916" s="21">
        <f>IF(A916="","",IF(COUNTIF(Atletas!$A$2:$A$302,A916)&gt;0,"Sí","No"))</f>
        <v/>
      </c>
    </row>
    <row r="917">
      <c r="A917" s="17" t="n"/>
      <c r="B917" s="17" t="n"/>
      <c r="C917" s="18" t="n"/>
      <c r="D917" s="19" t="n"/>
      <c r="E917" s="17" t="n"/>
      <c r="F917" s="21">
        <f>IF(OR(B917="",C917=""),"",IFERROR(INT(ROUND(IFERROR(TIMEVALUE(IF(LEN(C917)-LEN(SUBSTITUTE(C917,":",""))=2,"","0:")&amp;C917)*86400,"")/VALUE(SUBSTITUTE(B917,"K","")),0)/60)&amp;":"&amp;TEXT(MOD(ROUND(IFERROR(TIMEVALUE(IF(LEN(C917)-LEN(SUBSTITUTE(C917,":",""))=2,"","0:")&amp;C917)*86400,"")/VALUE(SUBSTITUTE(B917,"K","")),0),60),"00"),""))</f>
        <v/>
      </c>
      <c r="G917" s="21">
        <f>IF(A917="","",IF(COUNTIF(Atletas!$A$2:$A$302,A917)&gt;0,"Sí","No"))</f>
        <v/>
      </c>
    </row>
    <row r="918">
      <c r="A918" s="17" t="n"/>
      <c r="B918" s="17" t="n"/>
      <c r="C918" s="18" t="n"/>
      <c r="D918" s="19" t="n"/>
      <c r="E918" s="17" t="n"/>
      <c r="F918" s="21">
        <f>IF(OR(B918="",C918=""),"",IFERROR(INT(ROUND(IFERROR(TIMEVALUE(IF(LEN(C918)-LEN(SUBSTITUTE(C918,":",""))=2,"","0:")&amp;C918)*86400,"")/VALUE(SUBSTITUTE(B918,"K","")),0)/60)&amp;":"&amp;TEXT(MOD(ROUND(IFERROR(TIMEVALUE(IF(LEN(C918)-LEN(SUBSTITUTE(C918,":",""))=2,"","0:")&amp;C918)*86400,"")/VALUE(SUBSTITUTE(B918,"K","")),0),60),"00"),""))</f>
        <v/>
      </c>
      <c r="G918" s="21">
        <f>IF(A918="","",IF(COUNTIF(Atletas!$A$2:$A$302,A918)&gt;0,"Sí","No"))</f>
        <v/>
      </c>
    </row>
    <row r="919">
      <c r="A919" s="17" t="n"/>
      <c r="B919" s="17" t="n"/>
      <c r="C919" s="18" t="n"/>
      <c r="D919" s="19" t="n"/>
      <c r="E919" s="17" t="n"/>
      <c r="F919" s="21">
        <f>IF(OR(B919="",C919=""),"",IFERROR(INT(ROUND(IFERROR(TIMEVALUE(IF(LEN(C919)-LEN(SUBSTITUTE(C919,":",""))=2,"","0:")&amp;C919)*86400,"")/VALUE(SUBSTITUTE(B919,"K","")),0)/60)&amp;":"&amp;TEXT(MOD(ROUND(IFERROR(TIMEVALUE(IF(LEN(C919)-LEN(SUBSTITUTE(C919,":",""))=2,"","0:")&amp;C919)*86400,"")/VALUE(SUBSTITUTE(B919,"K","")),0),60),"00"),""))</f>
        <v/>
      </c>
      <c r="G919" s="21">
        <f>IF(A919="","",IF(COUNTIF(Atletas!$A$2:$A$302,A919)&gt;0,"Sí","No"))</f>
        <v/>
      </c>
    </row>
    <row r="920">
      <c r="A920" s="17" t="n"/>
      <c r="B920" s="17" t="n"/>
      <c r="C920" s="18" t="n"/>
      <c r="D920" s="19" t="n"/>
      <c r="E920" s="17" t="n"/>
      <c r="F920" s="21">
        <f>IF(OR(B920="",C920=""),"",IFERROR(INT(ROUND(IFERROR(TIMEVALUE(IF(LEN(C920)-LEN(SUBSTITUTE(C920,":",""))=2,"","0:")&amp;C920)*86400,"")/VALUE(SUBSTITUTE(B920,"K","")),0)/60)&amp;":"&amp;TEXT(MOD(ROUND(IFERROR(TIMEVALUE(IF(LEN(C920)-LEN(SUBSTITUTE(C920,":",""))=2,"","0:")&amp;C920)*86400,"")/VALUE(SUBSTITUTE(B920,"K","")),0),60),"00"),""))</f>
        <v/>
      </c>
      <c r="G920" s="21">
        <f>IF(A920="","",IF(COUNTIF(Atletas!$A$2:$A$302,A920)&gt;0,"Sí","No"))</f>
        <v/>
      </c>
    </row>
    <row r="921">
      <c r="A921" s="17" t="n"/>
      <c r="B921" s="17" t="n"/>
      <c r="C921" s="18" t="n"/>
      <c r="D921" s="19" t="n"/>
      <c r="E921" s="17" t="n"/>
      <c r="F921" s="21">
        <f>IF(OR(B921="",C921=""),"",IFERROR(INT(ROUND(IFERROR(TIMEVALUE(IF(LEN(C921)-LEN(SUBSTITUTE(C921,":",""))=2,"","0:")&amp;C921)*86400,"")/VALUE(SUBSTITUTE(B921,"K","")),0)/60)&amp;":"&amp;TEXT(MOD(ROUND(IFERROR(TIMEVALUE(IF(LEN(C921)-LEN(SUBSTITUTE(C921,":",""))=2,"","0:")&amp;C921)*86400,"")/VALUE(SUBSTITUTE(B921,"K","")),0),60),"00"),""))</f>
        <v/>
      </c>
      <c r="G921" s="21">
        <f>IF(A921="","",IF(COUNTIF(Atletas!$A$2:$A$302,A921)&gt;0,"Sí","No"))</f>
        <v/>
      </c>
    </row>
    <row r="922">
      <c r="A922" s="17" t="n"/>
      <c r="B922" s="17" t="n"/>
      <c r="C922" s="18" t="n"/>
      <c r="D922" s="19" t="n"/>
      <c r="E922" s="17" t="n"/>
      <c r="F922" s="21">
        <f>IF(OR(B922="",C922=""),"",IFERROR(INT(ROUND(IFERROR(TIMEVALUE(IF(LEN(C922)-LEN(SUBSTITUTE(C922,":",""))=2,"","0:")&amp;C922)*86400,"")/VALUE(SUBSTITUTE(B922,"K","")),0)/60)&amp;":"&amp;TEXT(MOD(ROUND(IFERROR(TIMEVALUE(IF(LEN(C922)-LEN(SUBSTITUTE(C922,":",""))=2,"","0:")&amp;C922)*86400,"")/VALUE(SUBSTITUTE(B922,"K","")),0),60),"00"),""))</f>
        <v/>
      </c>
      <c r="G922" s="21">
        <f>IF(A922="","",IF(COUNTIF(Atletas!$A$2:$A$302,A922)&gt;0,"Sí","No"))</f>
        <v/>
      </c>
    </row>
    <row r="923">
      <c r="A923" s="17" t="n"/>
      <c r="B923" s="17" t="n"/>
      <c r="C923" s="18" t="n"/>
      <c r="D923" s="19" t="n"/>
      <c r="E923" s="17" t="n"/>
      <c r="F923" s="21">
        <f>IF(OR(B923="",C923=""),"",IFERROR(INT(ROUND(IFERROR(TIMEVALUE(IF(LEN(C923)-LEN(SUBSTITUTE(C923,":",""))=2,"","0:")&amp;C923)*86400,"")/VALUE(SUBSTITUTE(B923,"K","")),0)/60)&amp;":"&amp;TEXT(MOD(ROUND(IFERROR(TIMEVALUE(IF(LEN(C923)-LEN(SUBSTITUTE(C923,":",""))=2,"","0:")&amp;C923)*86400,"")/VALUE(SUBSTITUTE(B923,"K","")),0),60),"00"),""))</f>
        <v/>
      </c>
      <c r="G923" s="21">
        <f>IF(A923="","",IF(COUNTIF(Atletas!$A$2:$A$302,A923)&gt;0,"Sí","No"))</f>
        <v/>
      </c>
    </row>
    <row r="924">
      <c r="A924" s="17" t="n"/>
      <c r="B924" s="17" t="n"/>
      <c r="C924" s="18" t="n"/>
      <c r="D924" s="19" t="n"/>
      <c r="E924" s="17" t="n"/>
      <c r="F924" s="21">
        <f>IF(OR(B924="",C924=""),"",IFERROR(INT(ROUND(IFERROR(TIMEVALUE(IF(LEN(C924)-LEN(SUBSTITUTE(C924,":",""))=2,"","0:")&amp;C924)*86400,"")/VALUE(SUBSTITUTE(B924,"K","")),0)/60)&amp;":"&amp;TEXT(MOD(ROUND(IFERROR(TIMEVALUE(IF(LEN(C924)-LEN(SUBSTITUTE(C924,":",""))=2,"","0:")&amp;C924)*86400,"")/VALUE(SUBSTITUTE(B924,"K","")),0),60),"00"),""))</f>
        <v/>
      </c>
      <c r="G924" s="21">
        <f>IF(A924="","",IF(COUNTIF(Atletas!$A$2:$A$302,A924)&gt;0,"Sí","No"))</f>
        <v/>
      </c>
    </row>
    <row r="925">
      <c r="A925" s="17" t="n"/>
      <c r="B925" s="17" t="n"/>
      <c r="C925" s="18" t="n"/>
      <c r="D925" s="19" t="n"/>
      <c r="E925" s="17" t="n"/>
      <c r="F925" s="21">
        <f>IF(OR(B925="",C925=""),"",IFERROR(INT(ROUND(IFERROR(TIMEVALUE(IF(LEN(C925)-LEN(SUBSTITUTE(C925,":",""))=2,"","0:")&amp;C925)*86400,"")/VALUE(SUBSTITUTE(B925,"K","")),0)/60)&amp;":"&amp;TEXT(MOD(ROUND(IFERROR(TIMEVALUE(IF(LEN(C925)-LEN(SUBSTITUTE(C925,":",""))=2,"","0:")&amp;C925)*86400,"")/VALUE(SUBSTITUTE(B925,"K","")),0),60),"00"),""))</f>
        <v/>
      </c>
      <c r="G925" s="21">
        <f>IF(A925="","",IF(COUNTIF(Atletas!$A$2:$A$302,A925)&gt;0,"Sí","No"))</f>
        <v/>
      </c>
    </row>
    <row r="926">
      <c r="A926" s="17" t="n"/>
      <c r="B926" s="17" t="n"/>
      <c r="C926" s="18" t="n"/>
      <c r="D926" s="19" t="n"/>
      <c r="E926" s="17" t="n"/>
      <c r="F926" s="21">
        <f>IF(OR(B926="",C926=""),"",IFERROR(INT(ROUND(IFERROR(TIMEVALUE(IF(LEN(C926)-LEN(SUBSTITUTE(C926,":",""))=2,"","0:")&amp;C926)*86400,"")/VALUE(SUBSTITUTE(B926,"K","")),0)/60)&amp;":"&amp;TEXT(MOD(ROUND(IFERROR(TIMEVALUE(IF(LEN(C926)-LEN(SUBSTITUTE(C926,":",""))=2,"","0:")&amp;C926)*86400,"")/VALUE(SUBSTITUTE(B926,"K","")),0),60),"00"),""))</f>
        <v/>
      </c>
      <c r="G926" s="21">
        <f>IF(A926="","",IF(COUNTIF(Atletas!$A$2:$A$302,A926)&gt;0,"Sí","No"))</f>
        <v/>
      </c>
    </row>
    <row r="927">
      <c r="A927" s="17" t="n"/>
      <c r="B927" s="17" t="n"/>
      <c r="C927" s="18" t="n"/>
      <c r="D927" s="19" t="n"/>
      <c r="E927" s="17" t="n"/>
      <c r="F927" s="21">
        <f>IF(OR(B927="",C927=""),"",IFERROR(INT(ROUND(IFERROR(TIMEVALUE(IF(LEN(C927)-LEN(SUBSTITUTE(C927,":",""))=2,"","0:")&amp;C927)*86400,"")/VALUE(SUBSTITUTE(B927,"K","")),0)/60)&amp;":"&amp;TEXT(MOD(ROUND(IFERROR(TIMEVALUE(IF(LEN(C927)-LEN(SUBSTITUTE(C927,":",""))=2,"","0:")&amp;C927)*86400,"")/VALUE(SUBSTITUTE(B927,"K","")),0),60),"00"),""))</f>
        <v/>
      </c>
      <c r="G927" s="21">
        <f>IF(A927="","",IF(COUNTIF(Atletas!$A$2:$A$302,A927)&gt;0,"Sí","No"))</f>
        <v/>
      </c>
    </row>
    <row r="928">
      <c r="A928" s="17" t="n"/>
      <c r="B928" s="17" t="n"/>
      <c r="C928" s="18" t="n"/>
      <c r="D928" s="19" t="n"/>
      <c r="E928" s="17" t="n"/>
      <c r="F928" s="21">
        <f>IF(OR(B928="",C928=""),"",IFERROR(INT(ROUND(IFERROR(TIMEVALUE(IF(LEN(C928)-LEN(SUBSTITUTE(C928,":",""))=2,"","0:")&amp;C928)*86400,"")/VALUE(SUBSTITUTE(B928,"K","")),0)/60)&amp;":"&amp;TEXT(MOD(ROUND(IFERROR(TIMEVALUE(IF(LEN(C928)-LEN(SUBSTITUTE(C928,":",""))=2,"","0:")&amp;C928)*86400,"")/VALUE(SUBSTITUTE(B928,"K","")),0),60),"00"),""))</f>
        <v/>
      </c>
      <c r="G928" s="21">
        <f>IF(A928="","",IF(COUNTIF(Atletas!$A$2:$A$302,A928)&gt;0,"Sí","No"))</f>
        <v/>
      </c>
    </row>
    <row r="929">
      <c r="A929" s="17" t="n"/>
      <c r="B929" s="17" t="n"/>
      <c r="C929" s="18" t="n"/>
      <c r="D929" s="19" t="n"/>
      <c r="E929" s="17" t="n"/>
      <c r="F929" s="21">
        <f>IF(OR(B929="",C929=""),"",IFERROR(INT(ROUND(IFERROR(TIMEVALUE(IF(LEN(C929)-LEN(SUBSTITUTE(C929,":",""))=2,"","0:")&amp;C929)*86400,"")/VALUE(SUBSTITUTE(B929,"K","")),0)/60)&amp;":"&amp;TEXT(MOD(ROUND(IFERROR(TIMEVALUE(IF(LEN(C929)-LEN(SUBSTITUTE(C929,":",""))=2,"","0:")&amp;C929)*86400,"")/VALUE(SUBSTITUTE(B929,"K","")),0),60),"00"),""))</f>
        <v/>
      </c>
      <c r="G929" s="21">
        <f>IF(A929="","",IF(COUNTIF(Atletas!$A$2:$A$302,A929)&gt;0,"Sí","No"))</f>
        <v/>
      </c>
    </row>
    <row r="930">
      <c r="A930" s="17" t="n"/>
      <c r="B930" s="17" t="n"/>
      <c r="C930" s="18" t="n"/>
      <c r="D930" s="19" t="n"/>
      <c r="E930" s="17" t="n"/>
      <c r="F930" s="21">
        <f>IF(OR(B930="",C930=""),"",IFERROR(INT(ROUND(IFERROR(TIMEVALUE(IF(LEN(C930)-LEN(SUBSTITUTE(C930,":",""))=2,"","0:")&amp;C930)*86400,"")/VALUE(SUBSTITUTE(B930,"K","")),0)/60)&amp;":"&amp;TEXT(MOD(ROUND(IFERROR(TIMEVALUE(IF(LEN(C930)-LEN(SUBSTITUTE(C930,":",""))=2,"","0:")&amp;C930)*86400,"")/VALUE(SUBSTITUTE(B930,"K","")),0),60),"00"),""))</f>
        <v/>
      </c>
      <c r="G930" s="21">
        <f>IF(A930="","",IF(COUNTIF(Atletas!$A$2:$A$302,A930)&gt;0,"Sí","No"))</f>
        <v/>
      </c>
    </row>
    <row r="931">
      <c r="A931" s="17" t="n"/>
      <c r="B931" s="17" t="n"/>
      <c r="C931" s="18" t="n"/>
      <c r="D931" s="19" t="n"/>
      <c r="E931" s="17" t="n"/>
      <c r="F931" s="21">
        <f>IF(OR(B931="",C931=""),"",IFERROR(INT(ROUND(IFERROR(TIMEVALUE(IF(LEN(C931)-LEN(SUBSTITUTE(C931,":",""))=2,"","0:")&amp;C931)*86400,"")/VALUE(SUBSTITUTE(B931,"K","")),0)/60)&amp;":"&amp;TEXT(MOD(ROUND(IFERROR(TIMEVALUE(IF(LEN(C931)-LEN(SUBSTITUTE(C931,":",""))=2,"","0:")&amp;C931)*86400,"")/VALUE(SUBSTITUTE(B931,"K","")),0),60),"00"),""))</f>
        <v/>
      </c>
      <c r="G931" s="21">
        <f>IF(A931="","",IF(COUNTIF(Atletas!$A$2:$A$302,A931)&gt;0,"Sí","No"))</f>
        <v/>
      </c>
    </row>
    <row r="932">
      <c r="A932" s="17" t="n"/>
      <c r="B932" s="17" t="n"/>
      <c r="C932" s="18" t="n"/>
      <c r="D932" s="19" t="n"/>
      <c r="E932" s="17" t="n"/>
      <c r="F932" s="21">
        <f>IF(OR(B932="",C932=""),"",IFERROR(INT(ROUND(IFERROR(TIMEVALUE(IF(LEN(C932)-LEN(SUBSTITUTE(C932,":",""))=2,"","0:")&amp;C932)*86400,"")/VALUE(SUBSTITUTE(B932,"K","")),0)/60)&amp;":"&amp;TEXT(MOD(ROUND(IFERROR(TIMEVALUE(IF(LEN(C932)-LEN(SUBSTITUTE(C932,":",""))=2,"","0:")&amp;C932)*86400,"")/VALUE(SUBSTITUTE(B932,"K","")),0),60),"00"),""))</f>
        <v/>
      </c>
      <c r="G932" s="21">
        <f>IF(A932="","",IF(COUNTIF(Atletas!$A$2:$A$302,A932)&gt;0,"Sí","No"))</f>
        <v/>
      </c>
    </row>
    <row r="933">
      <c r="A933" s="17" t="n"/>
      <c r="B933" s="17" t="n"/>
      <c r="C933" s="18" t="n"/>
      <c r="D933" s="19" t="n"/>
      <c r="E933" s="17" t="n"/>
      <c r="F933" s="21">
        <f>IF(OR(B933="",C933=""),"",IFERROR(INT(ROUND(IFERROR(TIMEVALUE(IF(LEN(C933)-LEN(SUBSTITUTE(C933,":",""))=2,"","0:")&amp;C933)*86400,"")/VALUE(SUBSTITUTE(B933,"K","")),0)/60)&amp;":"&amp;TEXT(MOD(ROUND(IFERROR(TIMEVALUE(IF(LEN(C933)-LEN(SUBSTITUTE(C933,":",""))=2,"","0:")&amp;C933)*86400,"")/VALUE(SUBSTITUTE(B933,"K","")),0),60),"00"),""))</f>
        <v/>
      </c>
      <c r="G933" s="21">
        <f>IF(A933="","",IF(COUNTIF(Atletas!$A$2:$A$302,A933)&gt;0,"Sí","No"))</f>
        <v/>
      </c>
    </row>
    <row r="934">
      <c r="A934" s="17" t="n"/>
      <c r="B934" s="17" t="n"/>
      <c r="C934" s="18" t="n"/>
      <c r="D934" s="19" t="n"/>
      <c r="E934" s="17" t="n"/>
      <c r="F934" s="21">
        <f>IF(OR(B934="",C934=""),"",IFERROR(INT(ROUND(IFERROR(TIMEVALUE(IF(LEN(C934)-LEN(SUBSTITUTE(C934,":",""))=2,"","0:")&amp;C934)*86400,"")/VALUE(SUBSTITUTE(B934,"K","")),0)/60)&amp;":"&amp;TEXT(MOD(ROUND(IFERROR(TIMEVALUE(IF(LEN(C934)-LEN(SUBSTITUTE(C934,":",""))=2,"","0:")&amp;C934)*86400,"")/VALUE(SUBSTITUTE(B934,"K","")),0),60),"00"),""))</f>
        <v/>
      </c>
      <c r="G934" s="21">
        <f>IF(A934="","",IF(COUNTIF(Atletas!$A$2:$A$302,A934)&gt;0,"Sí","No"))</f>
        <v/>
      </c>
    </row>
    <row r="935">
      <c r="A935" s="17" t="n"/>
      <c r="B935" s="17" t="n"/>
      <c r="C935" s="18" t="n"/>
      <c r="D935" s="19" t="n"/>
      <c r="E935" s="17" t="n"/>
      <c r="F935" s="21">
        <f>IF(OR(B935="",C935=""),"",IFERROR(INT(ROUND(IFERROR(TIMEVALUE(IF(LEN(C935)-LEN(SUBSTITUTE(C935,":",""))=2,"","0:")&amp;C935)*86400,"")/VALUE(SUBSTITUTE(B935,"K","")),0)/60)&amp;":"&amp;TEXT(MOD(ROUND(IFERROR(TIMEVALUE(IF(LEN(C935)-LEN(SUBSTITUTE(C935,":",""))=2,"","0:")&amp;C935)*86400,"")/VALUE(SUBSTITUTE(B935,"K","")),0),60),"00"),""))</f>
        <v/>
      </c>
      <c r="G935" s="21">
        <f>IF(A935="","",IF(COUNTIF(Atletas!$A$2:$A$302,A935)&gt;0,"Sí","No"))</f>
        <v/>
      </c>
    </row>
    <row r="936">
      <c r="A936" s="17" t="n"/>
      <c r="B936" s="17" t="n"/>
      <c r="C936" s="18" t="n"/>
      <c r="D936" s="19" t="n"/>
      <c r="E936" s="17" t="n"/>
      <c r="F936" s="21">
        <f>IF(OR(B936="",C936=""),"",IFERROR(INT(ROUND(IFERROR(TIMEVALUE(IF(LEN(C936)-LEN(SUBSTITUTE(C936,":",""))=2,"","0:")&amp;C936)*86400,"")/VALUE(SUBSTITUTE(B936,"K","")),0)/60)&amp;":"&amp;TEXT(MOD(ROUND(IFERROR(TIMEVALUE(IF(LEN(C936)-LEN(SUBSTITUTE(C936,":",""))=2,"","0:")&amp;C936)*86400,"")/VALUE(SUBSTITUTE(B936,"K","")),0),60),"00"),""))</f>
        <v/>
      </c>
      <c r="G936" s="21">
        <f>IF(A936="","",IF(COUNTIF(Atletas!$A$2:$A$302,A936)&gt;0,"Sí","No"))</f>
        <v/>
      </c>
    </row>
    <row r="937">
      <c r="A937" s="17" t="n"/>
      <c r="B937" s="17" t="n"/>
      <c r="C937" s="18" t="n"/>
      <c r="D937" s="19" t="n"/>
      <c r="E937" s="17" t="n"/>
      <c r="F937" s="21">
        <f>IF(OR(B937="",C937=""),"",IFERROR(INT(ROUND(IFERROR(TIMEVALUE(IF(LEN(C937)-LEN(SUBSTITUTE(C937,":",""))=2,"","0:")&amp;C937)*86400,"")/VALUE(SUBSTITUTE(B937,"K","")),0)/60)&amp;":"&amp;TEXT(MOD(ROUND(IFERROR(TIMEVALUE(IF(LEN(C937)-LEN(SUBSTITUTE(C937,":",""))=2,"","0:")&amp;C937)*86400,"")/VALUE(SUBSTITUTE(B937,"K","")),0),60),"00"),""))</f>
        <v/>
      </c>
      <c r="G937" s="21">
        <f>IF(A937="","",IF(COUNTIF(Atletas!$A$2:$A$302,A937)&gt;0,"Sí","No"))</f>
        <v/>
      </c>
    </row>
    <row r="938">
      <c r="A938" s="17" t="n"/>
      <c r="B938" s="17" t="n"/>
      <c r="C938" s="18" t="n"/>
      <c r="D938" s="19" t="n"/>
      <c r="E938" s="17" t="n"/>
      <c r="F938" s="21">
        <f>IF(OR(B938="",C938=""),"",IFERROR(INT(ROUND(IFERROR(TIMEVALUE(IF(LEN(C938)-LEN(SUBSTITUTE(C938,":",""))=2,"","0:")&amp;C938)*86400,"")/VALUE(SUBSTITUTE(B938,"K","")),0)/60)&amp;":"&amp;TEXT(MOD(ROUND(IFERROR(TIMEVALUE(IF(LEN(C938)-LEN(SUBSTITUTE(C938,":",""))=2,"","0:")&amp;C938)*86400,"")/VALUE(SUBSTITUTE(B938,"K","")),0),60),"00"),""))</f>
        <v/>
      </c>
      <c r="G938" s="21">
        <f>IF(A938="","",IF(COUNTIF(Atletas!$A$2:$A$302,A938)&gt;0,"Sí","No"))</f>
        <v/>
      </c>
    </row>
    <row r="939">
      <c r="A939" s="17" t="n"/>
      <c r="B939" s="17" t="n"/>
      <c r="C939" s="18" t="n"/>
      <c r="D939" s="19" t="n"/>
      <c r="E939" s="17" t="n"/>
      <c r="F939" s="21">
        <f>IF(OR(B939="",C939=""),"",IFERROR(INT(ROUND(IFERROR(TIMEVALUE(IF(LEN(C939)-LEN(SUBSTITUTE(C939,":",""))=2,"","0:")&amp;C939)*86400,"")/VALUE(SUBSTITUTE(B939,"K","")),0)/60)&amp;":"&amp;TEXT(MOD(ROUND(IFERROR(TIMEVALUE(IF(LEN(C939)-LEN(SUBSTITUTE(C939,":",""))=2,"","0:")&amp;C939)*86400,"")/VALUE(SUBSTITUTE(B939,"K","")),0),60),"00"),""))</f>
        <v/>
      </c>
      <c r="G939" s="21">
        <f>IF(A939="","",IF(COUNTIF(Atletas!$A$2:$A$302,A939)&gt;0,"Sí","No"))</f>
        <v/>
      </c>
    </row>
    <row r="940">
      <c r="A940" s="17" t="n"/>
      <c r="B940" s="17" t="n"/>
      <c r="C940" s="18" t="n"/>
      <c r="D940" s="19" t="n"/>
      <c r="E940" s="17" t="n"/>
      <c r="F940" s="21">
        <f>IF(OR(B940="",C940=""),"",IFERROR(INT(ROUND(IFERROR(TIMEVALUE(IF(LEN(C940)-LEN(SUBSTITUTE(C940,":",""))=2,"","0:")&amp;C940)*86400,"")/VALUE(SUBSTITUTE(B940,"K","")),0)/60)&amp;":"&amp;TEXT(MOD(ROUND(IFERROR(TIMEVALUE(IF(LEN(C940)-LEN(SUBSTITUTE(C940,":",""))=2,"","0:")&amp;C940)*86400,"")/VALUE(SUBSTITUTE(B940,"K","")),0),60),"00"),""))</f>
        <v/>
      </c>
      <c r="G940" s="21">
        <f>IF(A940="","",IF(COUNTIF(Atletas!$A$2:$A$302,A940)&gt;0,"Sí","No"))</f>
        <v/>
      </c>
    </row>
    <row r="941">
      <c r="A941" s="17" t="n"/>
      <c r="B941" s="17" t="n"/>
      <c r="C941" s="18" t="n"/>
      <c r="D941" s="19" t="n"/>
      <c r="E941" s="17" t="n"/>
      <c r="F941" s="21">
        <f>IF(OR(B941="",C941=""),"",IFERROR(INT(ROUND(IFERROR(TIMEVALUE(IF(LEN(C941)-LEN(SUBSTITUTE(C941,":",""))=2,"","0:")&amp;C941)*86400,"")/VALUE(SUBSTITUTE(B941,"K","")),0)/60)&amp;":"&amp;TEXT(MOD(ROUND(IFERROR(TIMEVALUE(IF(LEN(C941)-LEN(SUBSTITUTE(C941,":",""))=2,"","0:")&amp;C941)*86400,"")/VALUE(SUBSTITUTE(B941,"K","")),0),60),"00"),""))</f>
        <v/>
      </c>
      <c r="G941" s="21">
        <f>IF(A941="","",IF(COUNTIF(Atletas!$A$2:$A$302,A941)&gt;0,"Sí","No"))</f>
        <v/>
      </c>
    </row>
    <row r="942">
      <c r="A942" s="17" t="n"/>
      <c r="B942" s="17" t="n"/>
      <c r="C942" s="18" t="n"/>
      <c r="D942" s="19" t="n"/>
      <c r="E942" s="17" t="n"/>
      <c r="F942" s="21">
        <f>IF(OR(B942="",C942=""),"",IFERROR(INT(ROUND(IFERROR(TIMEVALUE(IF(LEN(C942)-LEN(SUBSTITUTE(C942,":",""))=2,"","0:")&amp;C942)*86400,"")/VALUE(SUBSTITUTE(B942,"K","")),0)/60)&amp;":"&amp;TEXT(MOD(ROUND(IFERROR(TIMEVALUE(IF(LEN(C942)-LEN(SUBSTITUTE(C942,":",""))=2,"","0:")&amp;C942)*86400,"")/VALUE(SUBSTITUTE(B942,"K","")),0),60),"00"),""))</f>
        <v/>
      </c>
      <c r="G942" s="21">
        <f>IF(A942="","",IF(COUNTIF(Atletas!$A$2:$A$302,A942)&gt;0,"Sí","No"))</f>
        <v/>
      </c>
    </row>
    <row r="943">
      <c r="A943" s="17" t="n"/>
      <c r="B943" s="17" t="n"/>
      <c r="C943" s="18" t="n"/>
      <c r="D943" s="19" t="n"/>
      <c r="E943" s="17" t="n"/>
      <c r="F943" s="21">
        <f>IF(OR(B943="",C943=""),"",IFERROR(INT(ROUND(IFERROR(TIMEVALUE(IF(LEN(C943)-LEN(SUBSTITUTE(C943,":",""))=2,"","0:")&amp;C943)*86400,"")/VALUE(SUBSTITUTE(B943,"K","")),0)/60)&amp;":"&amp;TEXT(MOD(ROUND(IFERROR(TIMEVALUE(IF(LEN(C943)-LEN(SUBSTITUTE(C943,":",""))=2,"","0:")&amp;C943)*86400,"")/VALUE(SUBSTITUTE(B943,"K","")),0),60),"00"),""))</f>
        <v/>
      </c>
      <c r="G943" s="21">
        <f>IF(A943="","",IF(COUNTIF(Atletas!$A$2:$A$302,A943)&gt;0,"Sí","No"))</f>
        <v/>
      </c>
    </row>
    <row r="944">
      <c r="A944" s="17" t="n"/>
      <c r="B944" s="17" t="n"/>
      <c r="C944" s="18" t="n"/>
      <c r="D944" s="19" t="n"/>
      <c r="E944" s="17" t="n"/>
      <c r="F944" s="21">
        <f>IF(OR(B944="",C944=""),"",IFERROR(INT(ROUND(IFERROR(TIMEVALUE(IF(LEN(C944)-LEN(SUBSTITUTE(C944,":",""))=2,"","0:")&amp;C944)*86400,"")/VALUE(SUBSTITUTE(B944,"K","")),0)/60)&amp;":"&amp;TEXT(MOD(ROUND(IFERROR(TIMEVALUE(IF(LEN(C944)-LEN(SUBSTITUTE(C944,":",""))=2,"","0:")&amp;C944)*86400,"")/VALUE(SUBSTITUTE(B944,"K","")),0),60),"00"),""))</f>
        <v/>
      </c>
      <c r="G944" s="21">
        <f>IF(A944="","",IF(COUNTIF(Atletas!$A$2:$A$302,A944)&gt;0,"Sí","No"))</f>
        <v/>
      </c>
    </row>
    <row r="945">
      <c r="A945" s="17" t="n"/>
      <c r="B945" s="17" t="n"/>
      <c r="C945" s="18" t="n"/>
      <c r="D945" s="19" t="n"/>
      <c r="E945" s="17" t="n"/>
      <c r="F945" s="21">
        <f>IF(OR(B945="",C945=""),"",IFERROR(INT(ROUND(IFERROR(TIMEVALUE(IF(LEN(C945)-LEN(SUBSTITUTE(C945,":",""))=2,"","0:")&amp;C945)*86400,"")/VALUE(SUBSTITUTE(B945,"K","")),0)/60)&amp;":"&amp;TEXT(MOD(ROUND(IFERROR(TIMEVALUE(IF(LEN(C945)-LEN(SUBSTITUTE(C945,":",""))=2,"","0:")&amp;C945)*86400,"")/VALUE(SUBSTITUTE(B945,"K","")),0),60),"00"),""))</f>
        <v/>
      </c>
      <c r="G945" s="21">
        <f>IF(A945="","",IF(COUNTIF(Atletas!$A$2:$A$302,A945)&gt;0,"Sí","No"))</f>
        <v/>
      </c>
    </row>
    <row r="946">
      <c r="A946" s="17" t="n"/>
      <c r="B946" s="17" t="n"/>
      <c r="C946" s="18" t="n"/>
      <c r="D946" s="19" t="n"/>
      <c r="E946" s="17" t="n"/>
      <c r="F946" s="21">
        <f>IF(OR(B946="",C946=""),"",IFERROR(INT(ROUND(IFERROR(TIMEVALUE(IF(LEN(C946)-LEN(SUBSTITUTE(C946,":",""))=2,"","0:")&amp;C946)*86400,"")/VALUE(SUBSTITUTE(B946,"K","")),0)/60)&amp;":"&amp;TEXT(MOD(ROUND(IFERROR(TIMEVALUE(IF(LEN(C946)-LEN(SUBSTITUTE(C946,":",""))=2,"","0:")&amp;C946)*86400,"")/VALUE(SUBSTITUTE(B946,"K","")),0),60),"00"),""))</f>
        <v/>
      </c>
      <c r="G946" s="21">
        <f>IF(A946="","",IF(COUNTIF(Atletas!$A$2:$A$302,A946)&gt;0,"Sí","No"))</f>
        <v/>
      </c>
    </row>
    <row r="947">
      <c r="A947" s="17" t="n"/>
      <c r="B947" s="17" t="n"/>
      <c r="C947" s="18" t="n"/>
      <c r="D947" s="19" t="n"/>
      <c r="E947" s="17" t="n"/>
      <c r="F947" s="21">
        <f>IF(OR(B947="",C947=""),"",IFERROR(INT(ROUND(IFERROR(TIMEVALUE(IF(LEN(C947)-LEN(SUBSTITUTE(C947,":",""))=2,"","0:")&amp;C947)*86400,"")/VALUE(SUBSTITUTE(B947,"K","")),0)/60)&amp;":"&amp;TEXT(MOD(ROUND(IFERROR(TIMEVALUE(IF(LEN(C947)-LEN(SUBSTITUTE(C947,":",""))=2,"","0:")&amp;C947)*86400,"")/VALUE(SUBSTITUTE(B947,"K","")),0),60),"00"),""))</f>
        <v/>
      </c>
      <c r="G947" s="21">
        <f>IF(A947="","",IF(COUNTIF(Atletas!$A$2:$A$302,A947)&gt;0,"Sí","No"))</f>
        <v/>
      </c>
    </row>
    <row r="948">
      <c r="A948" s="17" t="n"/>
      <c r="B948" s="17" t="n"/>
      <c r="C948" s="18" t="n"/>
      <c r="D948" s="19" t="n"/>
      <c r="E948" s="17" t="n"/>
      <c r="F948" s="21">
        <f>IF(OR(B948="",C948=""),"",IFERROR(INT(ROUND(IFERROR(TIMEVALUE(IF(LEN(C948)-LEN(SUBSTITUTE(C948,":",""))=2,"","0:")&amp;C948)*86400,"")/VALUE(SUBSTITUTE(B948,"K","")),0)/60)&amp;":"&amp;TEXT(MOD(ROUND(IFERROR(TIMEVALUE(IF(LEN(C948)-LEN(SUBSTITUTE(C948,":",""))=2,"","0:")&amp;C948)*86400,"")/VALUE(SUBSTITUTE(B948,"K","")),0),60),"00"),""))</f>
        <v/>
      </c>
      <c r="G948" s="21">
        <f>IF(A948="","",IF(COUNTIF(Atletas!$A$2:$A$302,A948)&gt;0,"Sí","No"))</f>
        <v/>
      </c>
    </row>
    <row r="949">
      <c r="A949" s="17" t="n"/>
      <c r="B949" s="17" t="n"/>
      <c r="C949" s="18" t="n"/>
      <c r="D949" s="19" t="n"/>
      <c r="E949" s="17" t="n"/>
      <c r="F949" s="21">
        <f>IF(OR(B949="",C949=""),"",IFERROR(INT(ROUND(IFERROR(TIMEVALUE(IF(LEN(C949)-LEN(SUBSTITUTE(C949,":",""))=2,"","0:")&amp;C949)*86400,"")/VALUE(SUBSTITUTE(B949,"K","")),0)/60)&amp;":"&amp;TEXT(MOD(ROUND(IFERROR(TIMEVALUE(IF(LEN(C949)-LEN(SUBSTITUTE(C949,":",""))=2,"","0:")&amp;C949)*86400,"")/VALUE(SUBSTITUTE(B949,"K","")),0),60),"00"),""))</f>
        <v/>
      </c>
      <c r="G949" s="21">
        <f>IF(A949="","",IF(COUNTIF(Atletas!$A$2:$A$302,A949)&gt;0,"Sí","No"))</f>
        <v/>
      </c>
    </row>
    <row r="950">
      <c r="A950" s="17" t="n"/>
      <c r="B950" s="17" t="n"/>
      <c r="C950" s="18" t="n"/>
      <c r="D950" s="19" t="n"/>
      <c r="E950" s="17" t="n"/>
      <c r="F950" s="21">
        <f>IF(OR(B950="",C950=""),"",IFERROR(INT(ROUND(IFERROR(TIMEVALUE(IF(LEN(C950)-LEN(SUBSTITUTE(C950,":",""))=2,"","0:")&amp;C950)*86400,"")/VALUE(SUBSTITUTE(B950,"K","")),0)/60)&amp;":"&amp;TEXT(MOD(ROUND(IFERROR(TIMEVALUE(IF(LEN(C950)-LEN(SUBSTITUTE(C950,":",""))=2,"","0:")&amp;C950)*86400,"")/VALUE(SUBSTITUTE(B950,"K","")),0),60),"00"),""))</f>
        <v/>
      </c>
      <c r="G950" s="21">
        <f>IF(A950="","",IF(COUNTIF(Atletas!$A$2:$A$302,A950)&gt;0,"Sí","No"))</f>
        <v/>
      </c>
    </row>
    <row r="951">
      <c r="A951" s="17" t="n"/>
      <c r="B951" s="17" t="n"/>
      <c r="C951" s="18" t="n"/>
      <c r="D951" s="19" t="n"/>
      <c r="E951" s="17" t="n"/>
      <c r="F951" s="21">
        <f>IF(OR(B951="",C951=""),"",IFERROR(INT(ROUND(IFERROR(TIMEVALUE(IF(LEN(C951)-LEN(SUBSTITUTE(C951,":",""))=2,"","0:")&amp;C951)*86400,"")/VALUE(SUBSTITUTE(B951,"K","")),0)/60)&amp;":"&amp;TEXT(MOD(ROUND(IFERROR(TIMEVALUE(IF(LEN(C951)-LEN(SUBSTITUTE(C951,":",""))=2,"","0:")&amp;C951)*86400,"")/VALUE(SUBSTITUTE(B951,"K","")),0),60),"00"),""))</f>
        <v/>
      </c>
      <c r="G951" s="21">
        <f>IF(A951="","",IF(COUNTIF(Atletas!$A$2:$A$302,A951)&gt;0,"Sí","No"))</f>
        <v/>
      </c>
    </row>
    <row r="952">
      <c r="A952" s="17" t="n"/>
      <c r="B952" s="17" t="n"/>
      <c r="C952" s="18" t="n"/>
      <c r="D952" s="19" t="n"/>
      <c r="E952" s="17" t="n"/>
      <c r="F952" s="21">
        <f>IF(OR(B952="",C952=""),"",IFERROR(INT(ROUND(IFERROR(TIMEVALUE(IF(LEN(C952)-LEN(SUBSTITUTE(C952,":",""))=2,"","0:")&amp;C952)*86400,"")/VALUE(SUBSTITUTE(B952,"K","")),0)/60)&amp;":"&amp;TEXT(MOD(ROUND(IFERROR(TIMEVALUE(IF(LEN(C952)-LEN(SUBSTITUTE(C952,":",""))=2,"","0:")&amp;C952)*86400,"")/VALUE(SUBSTITUTE(B952,"K","")),0),60),"00"),""))</f>
        <v/>
      </c>
      <c r="G952" s="21">
        <f>IF(A952="","",IF(COUNTIF(Atletas!$A$2:$A$302,A952)&gt;0,"Sí","No"))</f>
        <v/>
      </c>
    </row>
    <row r="953">
      <c r="A953" s="17" t="n"/>
      <c r="B953" s="17" t="n"/>
      <c r="C953" s="18" t="n"/>
      <c r="D953" s="19" t="n"/>
      <c r="E953" s="17" t="n"/>
      <c r="F953" s="21">
        <f>IF(OR(B953="",C953=""),"",IFERROR(INT(ROUND(IFERROR(TIMEVALUE(IF(LEN(C953)-LEN(SUBSTITUTE(C953,":",""))=2,"","0:")&amp;C953)*86400,"")/VALUE(SUBSTITUTE(B953,"K","")),0)/60)&amp;":"&amp;TEXT(MOD(ROUND(IFERROR(TIMEVALUE(IF(LEN(C953)-LEN(SUBSTITUTE(C953,":",""))=2,"","0:")&amp;C953)*86400,"")/VALUE(SUBSTITUTE(B953,"K","")),0),60),"00"),""))</f>
        <v/>
      </c>
      <c r="G953" s="21">
        <f>IF(A953="","",IF(COUNTIF(Atletas!$A$2:$A$302,A953)&gt;0,"Sí","No"))</f>
        <v/>
      </c>
    </row>
    <row r="954">
      <c r="A954" s="17" t="n"/>
      <c r="B954" s="17" t="n"/>
      <c r="C954" s="18" t="n"/>
      <c r="D954" s="19" t="n"/>
      <c r="E954" s="17" t="n"/>
      <c r="F954" s="21">
        <f>IF(OR(B954="",C954=""),"",IFERROR(INT(ROUND(IFERROR(TIMEVALUE(IF(LEN(C954)-LEN(SUBSTITUTE(C954,":",""))=2,"","0:")&amp;C954)*86400,"")/VALUE(SUBSTITUTE(B954,"K","")),0)/60)&amp;":"&amp;TEXT(MOD(ROUND(IFERROR(TIMEVALUE(IF(LEN(C954)-LEN(SUBSTITUTE(C954,":",""))=2,"","0:")&amp;C954)*86400,"")/VALUE(SUBSTITUTE(B954,"K","")),0),60),"00"),""))</f>
        <v/>
      </c>
      <c r="G954" s="21">
        <f>IF(A954="","",IF(COUNTIF(Atletas!$A$2:$A$302,A954)&gt;0,"Sí","No"))</f>
        <v/>
      </c>
    </row>
    <row r="955">
      <c r="A955" s="17" t="n"/>
      <c r="B955" s="17" t="n"/>
      <c r="C955" s="18" t="n"/>
      <c r="D955" s="19" t="n"/>
      <c r="E955" s="17" t="n"/>
      <c r="F955" s="21">
        <f>IF(OR(B955="",C955=""),"",IFERROR(INT(ROUND(IFERROR(TIMEVALUE(IF(LEN(C955)-LEN(SUBSTITUTE(C955,":",""))=2,"","0:")&amp;C955)*86400,"")/VALUE(SUBSTITUTE(B955,"K","")),0)/60)&amp;":"&amp;TEXT(MOD(ROUND(IFERROR(TIMEVALUE(IF(LEN(C955)-LEN(SUBSTITUTE(C955,":",""))=2,"","0:")&amp;C955)*86400,"")/VALUE(SUBSTITUTE(B955,"K","")),0),60),"00"),""))</f>
        <v/>
      </c>
      <c r="G955" s="21">
        <f>IF(A955="","",IF(COUNTIF(Atletas!$A$2:$A$302,A955)&gt;0,"Sí","No"))</f>
        <v/>
      </c>
    </row>
    <row r="956">
      <c r="A956" s="17" t="n"/>
      <c r="B956" s="17" t="n"/>
      <c r="C956" s="18" t="n"/>
      <c r="D956" s="19" t="n"/>
      <c r="E956" s="17" t="n"/>
      <c r="F956" s="21">
        <f>IF(OR(B956="",C956=""),"",IFERROR(INT(ROUND(IFERROR(TIMEVALUE(IF(LEN(C956)-LEN(SUBSTITUTE(C956,":",""))=2,"","0:")&amp;C956)*86400,"")/VALUE(SUBSTITUTE(B956,"K","")),0)/60)&amp;":"&amp;TEXT(MOD(ROUND(IFERROR(TIMEVALUE(IF(LEN(C956)-LEN(SUBSTITUTE(C956,":",""))=2,"","0:")&amp;C956)*86400,"")/VALUE(SUBSTITUTE(B956,"K","")),0),60),"00"),""))</f>
        <v/>
      </c>
      <c r="G956" s="21">
        <f>IF(A956="","",IF(COUNTIF(Atletas!$A$2:$A$302,A956)&gt;0,"Sí","No"))</f>
        <v/>
      </c>
    </row>
    <row r="957">
      <c r="A957" s="17" t="n"/>
      <c r="B957" s="17" t="n"/>
      <c r="C957" s="18" t="n"/>
      <c r="D957" s="19" t="n"/>
      <c r="E957" s="17" t="n"/>
      <c r="F957" s="21">
        <f>IF(OR(B957="",C957=""),"",IFERROR(INT(ROUND(IFERROR(TIMEVALUE(IF(LEN(C957)-LEN(SUBSTITUTE(C957,":",""))=2,"","0:")&amp;C957)*86400,"")/VALUE(SUBSTITUTE(B957,"K","")),0)/60)&amp;":"&amp;TEXT(MOD(ROUND(IFERROR(TIMEVALUE(IF(LEN(C957)-LEN(SUBSTITUTE(C957,":",""))=2,"","0:")&amp;C957)*86400,"")/VALUE(SUBSTITUTE(B957,"K","")),0),60),"00"),""))</f>
        <v/>
      </c>
      <c r="G957" s="21">
        <f>IF(A957="","",IF(COUNTIF(Atletas!$A$2:$A$302,A957)&gt;0,"Sí","No"))</f>
        <v/>
      </c>
    </row>
    <row r="958">
      <c r="A958" s="17" t="n"/>
      <c r="B958" s="17" t="n"/>
      <c r="C958" s="18" t="n"/>
      <c r="D958" s="19" t="n"/>
      <c r="E958" s="17" t="n"/>
      <c r="F958" s="21">
        <f>IF(OR(B958="",C958=""),"",IFERROR(INT(ROUND(IFERROR(TIMEVALUE(IF(LEN(C958)-LEN(SUBSTITUTE(C958,":",""))=2,"","0:")&amp;C958)*86400,"")/VALUE(SUBSTITUTE(B958,"K","")),0)/60)&amp;":"&amp;TEXT(MOD(ROUND(IFERROR(TIMEVALUE(IF(LEN(C958)-LEN(SUBSTITUTE(C958,":",""))=2,"","0:")&amp;C958)*86400,"")/VALUE(SUBSTITUTE(B958,"K","")),0),60),"00"),""))</f>
        <v/>
      </c>
      <c r="G958" s="21">
        <f>IF(A958="","",IF(COUNTIF(Atletas!$A$2:$A$302,A958)&gt;0,"Sí","No"))</f>
        <v/>
      </c>
    </row>
    <row r="959">
      <c r="A959" s="17" t="n"/>
      <c r="B959" s="17" t="n"/>
      <c r="C959" s="18" t="n"/>
      <c r="D959" s="19" t="n"/>
      <c r="E959" s="17" t="n"/>
      <c r="F959" s="21">
        <f>IF(OR(B959="",C959=""),"",IFERROR(INT(ROUND(IFERROR(TIMEVALUE(IF(LEN(C959)-LEN(SUBSTITUTE(C959,":",""))=2,"","0:")&amp;C959)*86400,"")/VALUE(SUBSTITUTE(B959,"K","")),0)/60)&amp;":"&amp;TEXT(MOD(ROUND(IFERROR(TIMEVALUE(IF(LEN(C959)-LEN(SUBSTITUTE(C959,":",""))=2,"","0:")&amp;C959)*86400,"")/VALUE(SUBSTITUTE(B959,"K","")),0),60),"00"),""))</f>
        <v/>
      </c>
      <c r="G959" s="21">
        <f>IF(A959="","",IF(COUNTIF(Atletas!$A$2:$A$302,A959)&gt;0,"Sí","No"))</f>
        <v/>
      </c>
    </row>
    <row r="960">
      <c r="A960" s="17" t="n"/>
      <c r="B960" s="17" t="n"/>
      <c r="C960" s="18" t="n"/>
      <c r="D960" s="19" t="n"/>
      <c r="E960" s="17" t="n"/>
      <c r="F960" s="21">
        <f>IF(OR(B960="",C960=""),"",IFERROR(INT(ROUND(IFERROR(TIMEVALUE(IF(LEN(C960)-LEN(SUBSTITUTE(C960,":",""))=2,"","0:")&amp;C960)*86400,"")/VALUE(SUBSTITUTE(B960,"K","")),0)/60)&amp;":"&amp;TEXT(MOD(ROUND(IFERROR(TIMEVALUE(IF(LEN(C960)-LEN(SUBSTITUTE(C960,":",""))=2,"","0:")&amp;C960)*86400,"")/VALUE(SUBSTITUTE(B960,"K","")),0),60),"00"),""))</f>
        <v/>
      </c>
      <c r="G960" s="21">
        <f>IF(A960="","",IF(COUNTIF(Atletas!$A$2:$A$302,A960)&gt;0,"Sí","No"))</f>
        <v/>
      </c>
    </row>
    <row r="961">
      <c r="A961" s="17" t="n"/>
      <c r="B961" s="17" t="n"/>
      <c r="C961" s="18" t="n"/>
      <c r="D961" s="19" t="n"/>
      <c r="E961" s="17" t="n"/>
      <c r="F961" s="21">
        <f>IF(OR(B961="",C961=""),"",IFERROR(INT(ROUND(IFERROR(TIMEVALUE(IF(LEN(C961)-LEN(SUBSTITUTE(C961,":",""))=2,"","0:")&amp;C961)*86400,"")/VALUE(SUBSTITUTE(B961,"K","")),0)/60)&amp;":"&amp;TEXT(MOD(ROUND(IFERROR(TIMEVALUE(IF(LEN(C961)-LEN(SUBSTITUTE(C961,":",""))=2,"","0:")&amp;C961)*86400,"")/VALUE(SUBSTITUTE(B961,"K","")),0),60),"00"),""))</f>
        <v/>
      </c>
      <c r="G961" s="21">
        <f>IF(A961="","",IF(COUNTIF(Atletas!$A$2:$A$302,A961)&gt;0,"Sí","No"))</f>
        <v/>
      </c>
    </row>
    <row r="962">
      <c r="A962" s="17" t="n"/>
      <c r="B962" s="17" t="n"/>
      <c r="C962" s="18" t="n"/>
      <c r="D962" s="19" t="n"/>
      <c r="E962" s="17" t="n"/>
      <c r="F962" s="21">
        <f>IF(OR(B962="",C962=""),"",IFERROR(INT(ROUND(IFERROR(TIMEVALUE(IF(LEN(C962)-LEN(SUBSTITUTE(C962,":",""))=2,"","0:")&amp;C962)*86400,"")/VALUE(SUBSTITUTE(B962,"K","")),0)/60)&amp;":"&amp;TEXT(MOD(ROUND(IFERROR(TIMEVALUE(IF(LEN(C962)-LEN(SUBSTITUTE(C962,":",""))=2,"","0:")&amp;C962)*86400,"")/VALUE(SUBSTITUTE(B962,"K","")),0),60),"00"),""))</f>
        <v/>
      </c>
      <c r="G962" s="21">
        <f>IF(A962="","",IF(COUNTIF(Atletas!$A$2:$A$302,A962)&gt;0,"Sí","No"))</f>
        <v/>
      </c>
    </row>
    <row r="963">
      <c r="A963" s="17" t="n"/>
      <c r="B963" s="17" t="n"/>
      <c r="C963" s="18" t="n"/>
      <c r="D963" s="19" t="n"/>
      <c r="E963" s="17" t="n"/>
      <c r="F963" s="21">
        <f>IF(OR(B963="",C963=""),"",IFERROR(INT(ROUND(IFERROR(TIMEVALUE(IF(LEN(C963)-LEN(SUBSTITUTE(C963,":",""))=2,"","0:")&amp;C963)*86400,"")/VALUE(SUBSTITUTE(B963,"K","")),0)/60)&amp;":"&amp;TEXT(MOD(ROUND(IFERROR(TIMEVALUE(IF(LEN(C963)-LEN(SUBSTITUTE(C963,":",""))=2,"","0:")&amp;C963)*86400,"")/VALUE(SUBSTITUTE(B963,"K","")),0),60),"00"),""))</f>
        <v/>
      </c>
      <c r="G963" s="21">
        <f>IF(A963="","",IF(COUNTIF(Atletas!$A$2:$A$302,A963)&gt;0,"Sí","No"))</f>
        <v/>
      </c>
    </row>
    <row r="964">
      <c r="A964" s="17" t="n"/>
      <c r="B964" s="17" t="n"/>
      <c r="C964" s="18" t="n"/>
      <c r="D964" s="19" t="n"/>
      <c r="E964" s="17" t="n"/>
      <c r="F964" s="21">
        <f>IF(OR(B964="",C964=""),"",IFERROR(INT(ROUND(IFERROR(TIMEVALUE(IF(LEN(C964)-LEN(SUBSTITUTE(C964,":",""))=2,"","0:")&amp;C964)*86400,"")/VALUE(SUBSTITUTE(B964,"K","")),0)/60)&amp;":"&amp;TEXT(MOD(ROUND(IFERROR(TIMEVALUE(IF(LEN(C964)-LEN(SUBSTITUTE(C964,":",""))=2,"","0:")&amp;C964)*86400,"")/VALUE(SUBSTITUTE(B964,"K","")),0),60),"00"),""))</f>
        <v/>
      </c>
      <c r="G964" s="21">
        <f>IF(A964="","",IF(COUNTIF(Atletas!$A$2:$A$302,A964)&gt;0,"Sí","No"))</f>
        <v/>
      </c>
    </row>
    <row r="965">
      <c r="A965" s="17" t="n"/>
      <c r="B965" s="17" t="n"/>
      <c r="C965" s="18" t="n"/>
      <c r="D965" s="19" t="n"/>
      <c r="E965" s="17" t="n"/>
      <c r="F965" s="21">
        <f>IF(OR(B965="",C965=""),"",IFERROR(INT(ROUND(IFERROR(TIMEVALUE(IF(LEN(C965)-LEN(SUBSTITUTE(C965,":",""))=2,"","0:")&amp;C965)*86400,"")/VALUE(SUBSTITUTE(B965,"K","")),0)/60)&amp;":"&amp;TEXT(MOD(ROUND(IFERROR(TIMEVALUE(IF(LEN(C965)-LEN(SUBSTITUTE(C965,":",""))=2,"","0:")&amp;C965)*86400,"")/VALUE(SUBSTITUTE(B965,"K","")),0),60),"00"),""))</f>
        <v/>
      </c>
      <c r="G965" s="21">
        <f>IF(A965="","",IF(COUNTIF(Atletas!$A$2:$A$302,A965)&gt;0,"Sí","No"))</f>
        <v/>
      </c>
    </row>
    <row r="966">
      <c r="A966" s="17" t="n"/>
      <c r="B966" s="17" t="n"/>
      <c r="C966" s="18" t="n"/>
      <c r="D966" s="19" t="n"/>
      <c r="E966" s="17" t="n"/>
      <c r="F966" s="21">
        <f>IF(OR(B966="",C966=""),"",IFERROR(INT(ROUND(IFERROR(TIMEVALUE(IF(LEN(C966)-LEN(SUBSTITUTE(C966,":",""))=2,"","0:")&amp;C966)*86400,"")/VALUE(SUBSTITUTE(B966,"K","")),0)/60)&amp;":"&amp;TEXT(MOD(ROUND(IFERROR(TIMEVALUE(IF(LEN(C966)-LEN(SUBSTITUTE(C966,":",""))=2,"","0:")&amp;C966)*86400,"")/VALUE(SUBSTITUTE(B966,"K","")),0),60),"00"),""))</f>
        <v/>
      </c>
      <c r="G966" s="21">
        <f>IF(A966="","",IF(COUNTIF(Atletas!$A$2:$A$302,A966)&gt;0,"Sí","No"))</f>
        <v/>
      </c>
    </row>
    <row r="967">
      <c r="A967" s="17" t="n"/>
      <c r="B967" s="17" t="n"/>
      <c r="C967" s="18" t="n"/>
      <c r="D967" s="19" t="n"/>
      <c r="E967" s="17" t="n"/>
      <c r="F967" s="21">
        <f>IF(OR(B967="",C967=""),"",IFERROR(INT(ROUND(IFERROR(TIMEVALUE(IF(LEN(C967)-LEN(SUBSTITUTE(C967,":",""))=2,"","0:")&amp;C967)*86400,"")/VALUE(SUBSTITUTE(B967,"K","")),0)/60)&amp;":"&amp;TEXT(MOD(ROUND(IFERROR(TIMEVALUE(IF(LEN(C967)-LEN(SUBSTITUTE(C967,":",""))=2,"","0:")&amp;C967)*86400,"")/VALUE(SUBSTITUTE(B967,"K","")),0),60),"00"),""))</f>
        <v/>
      </c>
      <c r="G967" s="21">
        <f>IF(A967="","",IF(COUNTIF(Atletas!$A$2:$A$302,A967)&gt;0,"Sí","No"))</f>
        <v/>
      </c>
    </row>
    <row r="968">
      <c r="A968" s="17" t="n"/>
      <c r="B968" s="17" t="n"/>
      <c r="C968" s="18" t="n"/>
      <c r="D968" s="19" t="n"/>
      <c r="E968" s="17" t="n"/>
      <c r="F968" s="21">
        <f>IF(OR(B968="",C968=""),"",IFERROR(INT(ROUND(IFERROR(TIMEVALUE(IF(LEN(C968)-LEN(SUBSTITUTE(C968,":",""))=2,"","0:")&amp;C968)*86400,"")/VALUE(SUBSTITUTE(B968,"K","")),0)/60)&amp;":"&amp;TEXT(MOD(ROUND(IFERROR(TIMEVALUE(IF(LEN(C968)-LEN(SUBSTITUTE(C968,":",""))=2,"","0:")&amp;C968)*86400,"")/VALUE(SUBSTITUTE(B968,"K","")),0),60),"00"),""))</f>
        <v/>
      </c>
      <c r="G968" s="21">
        <f>IF(A968="","",IF(COUNTIF(Atletas!$A$2:$A$302,A968)&gt;0,"Sí","No"))</f>
        <v/>
      </c>
    </row>
    <row r="969">
      <c r="A969" s="17" t="n"/>
      <c r="B969" s="17" t="n"/>
      <c r="C969" s="18" t="n"/>
      <c r="D969" s="19" t="n"/>
      <c r="E969" s="17" t="n"/>
      <c r="F969" s="21">
        <f>IF(OR(B969="",C969=""),"",IFERROR(INT(ROUND(IFERROR(TIMEVALUE(IF(LEN(C969)-LEN(SUBSTITUTE(C969,":",""))=2,"","0:")&amp;C969)*86400,"")/VALUE(SUBSTITUTE(B969,"K","")),0)/60)&amp;":"&amp;TEXT(MOD(ROUND(IFERROR(TIMEVALUE(IF(LEN(C969)-LEN(SUBSTITUTE(C969,":",""))=2,"","0:")&amp;C969)*86400,"")/VALUE(SUBSTITUTE(B969,"K","")),0),60),"00"),""))</f>
        <v/>
      </c>
      <c r="G969" s="21">
        <f>IF(A969="","",IF(COUNTIF(Atletas!$A$2:$A$302,A969)&gt;0,"Sí","No"))</f>
        <v/>
      </c>
    </row>
    <row r="970">
      <c r="A970" s="17" t="n"/>
      <c r="B970" s="17" t="n"/>
      <c r="C970" s="18" t="n"/>
      <c r="D970" s="19" t="n"/>
      <c r="E970" s="17" t="n"/>
      <c r="F970" s="21">
        <f>IF(OR(B970="",C970=""),"",IFERROR(INT(ROUND(IFERROR(TIMEVALUE(IF(LEN(C970)-LEN(SUBSTITUTE(C970,":",""))=2,"","0:")&amp;C970)*86400,"")/VALUE(SUBSTITUTE(B970,"K","")),0)/60)&amp;":"&amp;TEXT(MOD(ROUND(IFERROR(TIMEVALUE(IF(LEN(C970)-LEN(SUBSTITUTE(C970,":",""))=2,"","0:")&amp;C970)*86400,"")/VALUE(SUBSTITUTE(B970,"K","")),0),60),"00"),""))</f>
        <v/>
      </c>
      <c r="G970" s="21">
        <f>IF(A970="","",IF(COUNTIF(Atletas!$A$2:$A$302,A970)&gt;0,"Sí","No"))</f>
        <v/>
      </c>
    </row>
    <row r="971">
      <c r="A971" s="17" t="n"/>
      <c r="B971" s="17" t="n"/>
      <c r="C971" s="18" t="n"/>
      <c r="D971" s="19" t="n"/>
      <c r="E971" s="17" t="n"/>
      <c r="F971" s="21">
        <f>IF(OR(B971="",C971=""),"",IFERROR(INT(ROUND(IFERROR(TIMEVALUE(IF(LEN(C971)-LEN(SUBSTITUTE(C971,":",""))=2,"","0:")&amp;C971)*86400,"")/VALUE(SUBSTITUTE(B971,"K","")),0)/60)&amp;":"&amp;TEXT(MOD(ROUND(IFERROR(TIMEVALUE(IF(LEN(C971)-LEN(SUBSTITUTE(C971,":",""))=2,"","0:")&amp;C971)*86400,"")/VALUE(SUBSTITUTE(B971,"K","")),0),60),"00"),""))</f>
        <v/>
      </c>
      <c r="G971" s="21">
        <f>IF(A971="","",IF(COUNTIF(Atletas!$A$2:$A$302,A971)&gt;0,"Sí","No"))</f>
        <v/>
      </c>
    </row>
    <row r="972">
      <c r="A972" s="17" t="n"/>
      <c r="B972" s="17" t="n"/>
      <c r="C972" s="18" t="n"/>
      <c r="D972" s="19" t="n"/>
      <c r="E972" s="17" t="n"/>
      <c r="F972" s="21">
        <f>IF(OR(B972="",C972=""),"",IFERROR(INT(ROUND(IFERROR(TIMEVALUE(IF(LEN(C972)-LEN(SUBSTITUTE(C972,":",""))=2,"","0:")&amp;C972)*86400,"")/VALUE(SUBSTITUTE(B972,"K","")),0)/60)&amp;":"&amp;TEXT(MOD(ROUND(IFERROR(TIMEVALUE(IF(LEN(C972)-LEN(SUBSTITUTE(C972,":",""))=2,"","0:")&amp;C972)*86400,"")/VALUE(SUBSTITUTE(B972,"K","")),0),60),"00"),""))</f>
        <v/>
      </c>
      <c r="G972" s="21">
        <f>IF(A972="","",IF(COUNTIF(Atletas!$A$2:$A$302,A972)&gt;0,"Sí","No"))</f>
        <v/>
      </c>
    </row>
    <row r="973">
      <c r="A973" s="17" t="n"/>
      <c r="B973" s="17" t="n"/>
      <c r="C973" s="18" t="n"/>
      <c r="D973" s="19" t="n"/>
      <c r="E973" s="17" t="n"/>
      <c r="F973" s="21">
        <f>IF(OR(B973="",C973=""),"",IFERROR(INT(ROUND(IFERROR(TIMEVALUE(IF(LEN(C973)-LEN(SUBSTITUTE(C973,":",""))=2,"","0:")&amp;C973)*86400,"")/VALUE(SUBSTITUTE(B973,"K","")),0)/60)&amp;":"&amp;TEXT(MOD(ROUND(IFERROR(TIMEVALUE(IF(LEN(C973)-LEN(SUBSTITUTE(C973,":",""))=2,"","0:")&amp;C973)*86400,"")/VALUE(SUBSTITUTE(B973,"K","")),0),60),"00"),""))</f>
        <v/>
      </c>
      <c r="G973" s="21">
        <f>IF(A973="","",IF(COUNTIF(Atletas!$A$2:$A$302,A973)&gt;0,"Sí","No"))</f>
        <v/>
      </c>
    </row>
    <row r="974">
      <c r="A974" s="17" t="n"/>
      <c r="B974" s="17" t="n"/>
      <c r="C974" s="18" t="n"/>
      <c r="D974" s="19" t="n"/>
      <c r="E974" s="17" t="n"/>
      <c r="F974" s="21">
        <f>IF(OR(B974="",C974=""),"",IFERROR(INT(ROUND(IFERROR(TIMEVALUE(IF(LEN(C974)-LEN(SUBSTITUTE(C974,":",""))=2,"","0:")&amp;C974)*86400,"")/VALUE(SUBSTITUTE(B974,"K","")),0)/60)&amp;":"&amp;TEXT(MOD(ROUND(IFERROR(TIMEVALUE(IF(LEN(C974)-LEN(SUBSTITUTE(C974,":",""))=2,"","0:")&amp;C974)*86400,"")/VALUE(SUBSTITUTE(B974,"K","")),0),60),"00"),""))</f>
        <v/>
      </c>
      <c r="G974" s="21">
        <f>IF(A974="","",IF(COUNTIF(Atletas!$A$2:$A$302,A974)&gt;0,"Sí","No"))</f>
        <v/>
      </c>
    </row>
    <row r="975">
      <c r="A975" s="17" t="n"/>
      <c r="B975" s="17" t="n"/>
      <c r="C975" s="18" t="n"/>
      <c r="D975" s="19" t="n"/>
      <c r="E975" s="17" t="n"/>
      <c r="F975" s="21">
        <f>IF(OR(B975="",C975=""),"",IFERROR(INT(ROUND(IFERROR(TIMEVALUE(IF(LEN(C975)-LEN(SUBSTITUTE(C975,":",""))=2,"","0:")&amp;C975)*86400,"")/VALUE(SUBSTITUTE(B975,"K","")),0)/60)&amp;":"&amp;TEXT(MOD(ROUND(IFERROR(TIMEVALUE(IF(LEN(C975)-LEN(SUBSTITUTE(C975,":",""))=2,"","0:")&amp;C975)*86400,"")/VALUE(SUBSTITUTE(B975,"K","")),0),60),"00"),""))</f>
        <v/>
      </c>
      <c r="G975" s="21">
        <f>IF(A975="","",IF(COUNTIF(Atletas!$A$2:$A$302,A975)&gt;0,"Sí","No"))</f>
        <v/>
      </c>
    </row>
    <row r="976">
      <c r="A976" s="17" t="n"/>
      <c r="B976" s="17" t="n"/>
      <c r="C976" s="18" t="n"/>
      <c r="D976" s="19" t="n"/>
      <c r="E976" s="17" t="n"/>
      <c r="F976" s="21">
        <f>IF(OR(B976="",C976=""),"",IFERROR(INT(ROUND(IFERROR(TIMEVALUE(IF(LEN(C976)-LEN(SUBSTITUTE(C976,":",""))=2,"","0:")&amp;C976)*86400,"")/VALUE(SUBSTITUTE(B976,"K","")),0)/60)&amp;":"&amp;TEXT(MOD(ROUND(IFERROR(TIMEVALUE(IF(LEN(C976)-LEN(SUBSTITUTE(C976,":",""))=2,"","0:")&amp;C976)*86400,"")/VALUE(SUBSTITUTE(B976,"K","")),0),60),"00"),""))</f>
        <v/>
      </c>
      <c r="G976" s="21">
        <f>IF(A976="","",IF(COUNTIF(Atletas!$A$2:$A$302,A976)&gt;0,"Sí","No"))</f>
        <v/>
      </c>
    </row>
    <row r="977">
      <c r="A977" s="17" t="n"/>
      <c r="B977" s="17" t="n"/>
      <c r="C977" s="18" t="n"/>
      <c r="D977" s="19" t="n"/>
      <c r="E977" s="17" t="n"/>
      <c r="F977" s="21">
        <f>IF(OR(B977="",C977=""),"",IFERROR(INT(ROUND(IFERROR(TIMEVALUE(IF(LEN(C977)-LEN(SUBSTITUTE(C977,":",""))=2,"","0:")&amp;C977)*86400,"")/VALUE(SUBSTITUTE(B977,"K","")),0)/60)&amp;":"&amp;TEXT(MOD(ROUND(IFERROR(TIMEVALUE(IF(LEN(C977)-LEN(SUBSTITUTE(C977,":",""))=2,"","0:")&amp;C977)*86400,"")/VALUE(SUBSTITUTE(B977,"K","")),0),60),"00"),""))</f>
        <v/>
      </c>
      <c r="G977" s="21">
        <f>IF(A977="","",IF(COUNTIF(Atletas!$A$2:$A$302,A977)&gt;0,"Sí","No"))</f>
        <v/>
      </c>
    </row>
    <row r="978">
      <c r="A978" s="17" t="n"/>
      <c r="B978" s="17" t="n"/>
      <c r="C978" s="18" t="n"/>
      <c r="D978" s="19" t="n"/>
      <c r="E978" s="17" t="n"/>
      <c r="F978" s="21">
        <f>IF(OR(B978="",C978=""),"",IFERROR(INT(ROUND(IFERROR(TIMEVALUE(IF(LEN(C978)-LEN(SUBSTITUTE(C978,":",""))=2,"","0:")&amp;C978)*86400,"")/VALUE(SUBSTITUTE(B978,"K","")),0)/60)&amp;":"&amp;TEXT(MOD(ROUND(IFERROR(TIMEVALUE(IF(LEN(C978)-LEN(SUBSTITUTE(C978,":",""))=2,"","0:")&amp;C978)*86400,"")/VALUE(SUBSTITUTE(B978,"K","")),0),60),"00"),""))</f>
        <v/>
      </c>
      <c r="G978" s="21">
        <f>IF(A978="","",IF(COUNTIF(Atletas!$A$2:$A$302,A978)&gt;0,"Sí","No"))</f>
        <v/>
      </c>
    </row>
    <row r="979">
      <c r="A979" s="17" t="n"/>
      <c r="B979" s="17" t="n"/>
      <c r="C979" s="18" t="n"/>
      <c r="D979" s="19" t="n"/>
      <c r="E979" s="17" t="n"/>
      <c r="F979" s="21">
        <f>IF(OR(B979="",C979=""),"",IFERROR(INT(ROUND(IFERROR(TIMEVALUE(IF(LEN(C979)-LEN(SUBSTITUTE(C979,":",""))=2,"","0:")&amp;C979)*86400,"")/VALUE(SUBSTITUTE(B979,"K","")),0)/60)&amp;":"&amp;TEXT(MOD(ROUND(IFERROR(TIMEVALUE(IF(LEN(C979)-LEN(SUBSTITUTE(C979,":",""))=2,"","0:")&amp;C979)*86400,"")/VALUE(SUBSTITUTE(B979,"K","")),0),60),"00"),""))</f>
        <v/>
      </c>
      <c r="G979" s="21">
        <f>IF(A979="","",IF(COUNTIF(Atletas!$A$2:$A$302,A979)&gt;0,"Sí","No"))</f>
        <v/>
      </c>
    </row>
    <row r="980">
      <c r="A980" s="17" t="n"/>
      <c r="B980" s="17" t="n"/>
      <c r="C980" s="18" t="n"/>
      <c r="D980" s="19" t="n"/>
      <c r="E980" s="17" t="n"/>
      <c r="F980" s="21">
        <f>IF(OR(B980="",C980=""),"",IFERROR(INT(ROUND(IFERROR(TIMEVALUE(IF(LEN(C980)-LEN(SUBSTITUTE(C980,":",""))=2,"","0:")&amp;C980)*86400,"")/VALUE(SUBSTITUTE(B980,"K","")),0)/60)&amp;":"&amp;TEXT(MOD(ROUND(IFERROR(TIMEVALUE(IF(LEN(C980)-LEN(SUBSTITUTE(C980,":",""))=2,"","0:")&amp;C980)*86400,"")/VALUE(SUBSTITUTE(B980,"K","")),0),60),"00"),""))</f>
        <v/>
      </c>
      <c r="G980" s="21">
        <f>IF(A980="","",IF(COUNTIF(Atletas!$A$2:$A$302,A980)&gt;0,"Sí","No"))</f>
        <v/>
      </c>
    </row>
    <row r="981">
      <c r="A981" s="17" t="n"/>
      <c r="B981" s="17" t="n"/>
      <c r="C981" s="18" t="n"/>
      <c r="D981" s="19" t="n"/>
      <c r="E981" s="17" t="n"/>
      <c r="F981" s="21">
        <f>IF(OR(B981="",C981=""),"",IFERROR(INT(ROUND(IFERROR(TIMEVALUE(IF(LEN(C981)-LEN(SUBSTITUTE(C981,":",""))=2,"","0:")&amp;C981)*86400,"")/VALUE(SUBSTITUTE(B981,"K","")),0)/60)&amp;":"&amp;TEXT(MOD(ROUND(IFERROR(TIMEVALUE(IF(LEN(C981)-LEN(SUBSTITUTE(C981,":",""))=2,"","0:")&amp;C981)*86400,"")/VALUE(SUBSTITUTE(B981,"K","")),0),60),"00"),""))</f>
        <v/>
      </c>
      <c r="G981" s="21">
        <f>IF(A981="","",IF(COUNTIF(Atletas!$A$2:$A$302,A981)&gt;0,"Sí","No"))</f>
        <v/>
      </c>
    </row>
    <row r="982">
      <c r="A982" s="17" t="n"/>
      <c r="B982" s="17" t="n"/>
      <c r="C982" s="18" t="n"/>
      <c r="D982" s="19" t="n"/>
      <c r="E982" s="17" t="n"/>
      <c r="F982" s="21">
        <f>IF(OR(B982="",C982=""),"",IFERROR(INT(ROUND(IFERROR(TIMEVALUE(IF(LEN(C982)-LEN(SUBSTITUTE(C982,":",""))=2,"","0:")&amp;C982)*86400,"")/VALUE(SUBSTITUTE(B982,"K","")),0)/60)&amp;":"&amp;TEXT(MOD(ROUND(IFERROR(TIMEVALUE(IF(LEN(C982)-LEN(SUBSTITUTE(C982,":",""))=2,"","0:")&amp;C982)*86400,"")/VALUE(SUBSTITUTE(B982,"K","")),0),60),"00"),""))</f>
        <v/>
      </c>
      <c r="G982" s="21">
        <f>IF(A982="","",IF(COUNTIF(Atletas!$A$2:$A$302,A982)&gt;0,"Sí","No"))</f>
        <v/>
      </c>
    </row>
    <row r="983">
      <c r="A983" s="17" t="n"/>
      <c r="B983" s="17" t="n"/>
      <c r="C983" s="18" t="n"/>
      <c r="D983" s="19" t="n"/>
      <c r="E983" s="17" t="n"/>
      <c r="F983" s="21">
        <f>IF(OR(B983="",C983=""),"",IFERROR(INT(ROUND(IFERROR(TIMEVALUE(IF(LEN(C983)-LEN(SUBSTITUTE(C983,":",""))=2,"","0:")&amp;C983)*86400,"")/VALUE(SUBSTITUTE(B983,"K","")),0)/60)&amp;":"&amp;TEXT(MOD(ROUND(IFERROR(TIMEVALUE(IF(LEN(C983)-LEN(SUBSTITUTE(C983,":",""))=2,"","0:")&amp;C983)*86400,"")/VALUE(SUBSTITUTE(B983,"K","")),0),60),"00"),""))</f>
        <v/>
      </c>
      <c r="G983" s="21">
        <f>IF(A983="","",IF(COUNTIF(Atletas!$A$2:$A$302,A983)&gt;0,"Sí","No"))</f>
        <v/>
      </c>
    </row>
    <row r="984">
      <c r="A984" s="17" t="n"/>
      <c r="B984" s="17" t="n"/>
      <c r="C984" s="18" t="n"/>
      <c r="D984" s="19" t="n"/>
      <c r="E984" s="17" t="n"/>
      <c r="F984" s="21">
        <f>IF(OR(B984="",C984=""),"",IFERROR(INT(ROUND(IFERROR(TIMEVALUE(IF(LEN(C984)-LEN(SUBSTITUTE(C984,":",""))=2,"","0:")&amp;C984)*86400,"")/VALUE(SUBSTITUTE(B984,"K","")),0)/60)&amp;":"&amp;TEXT(MOD(ROUND(IFERROR(TIMEVALUE(IF(LEN(C984)-LEN(SUBSTITUTE(C984,":",""))=2,"","0:")&amp;C984)*86400,"")/VALUE(SUBSTITUTE(B984,"K","")),0),60),"00"),""))</f>
        <v/>
      </c>
      <c r="G984" s="21">
        <f>IF(A984="","",IF(COUNTIF(Atletas!$A$2:$A$302,A984)&gt;0,"Sí","No"))</f>
        <v/>
      </c>
    </row>
    <row r="985">
      <c r="A985" s="17" t="n"/>
      <c r="B985" s="17" t="n"/>
      <c r="C985" s="18" t="n"/>
      <c r="D985" s="19" t="n"/>
      <c r="E985" s="17" t="n"/>
      <c r="F985" s="21">
        <f>IF(OR(B985="",C985=""),"",IFERROR(INT(ROUND(IFERROR(TIMEVALUE(IF(LEN(C985)-LEN(SUBSTITUTE(C985,":",""))=2,"","0:")&amp;C985)*86400,"")/VALUE(SUBSTITUTE(B985,"K","")),0)/60)&amp;":"&amp;TEXT(MOD(ROUND(IFERROR(TIMEVALUE(IF(LEN(C985)-LEN(SUBSTITUTE(C985,":",""))=2,"","0:")&amp;C985)*86400,"")/VALUE(SUBSTITUTE(B985,"K","")),0),60),"00"),""))</f>
        <v/>
      </c>
      <c r="G985" s="21">
        <f>IF(A985="","",IF(COUNTIF(Atletas!$A$2:$A$302,A985)&gt;0,"Sí","No"))</f>
        <v/>
      </c>
    </row>
    <row r="986">
      <c r="A986" s="17" t="n"/>
      <c r="B986" s="17" t="n"/>
      <c r="C986" s="18" t="n"/>
      <c r="D986" s="19" t="n"/>
      <c r="E986" s="17" t="n"/>
      <c r="F986" s="21">
        <f>IF(OR(B986="",C986=""),"",IFERROR(INT(ROUND(IFERROR(TIMEVALUE(IF(LEN(C986)-LEN(SUBSTITUTE(C986,":",""))=2,"","0:")&amp;C986)*86400,"")/VALUE(SUBSTITUTE(B986,"K","")),0)/60)&amp;":"&amp;TEXT(MOD(ROUND(IFERROR(TIMEVALUE(IF(LEN(C986)-LEN(SUBSTITUTE(C986,":",""))=2,"","0:")&amp;C986)*86400,"")/VALUE(SUBSTITUTE(B986,"K","")),0),60),"00"),""))</f>
        <v/>
      </c>
      <c r="G986" s="21">
        <f>IF(A986="","",IF(COUNTIF(Atletas!$A$2:$A$302,A986)&gt;0,"Sí","No"))</f>
        <v/>
      </c>
    </row>
    <row r="987">
      <c r="A987" s="17" t="n"/>
      <c r="B987" s="17" t="n"/>
      <c r="C987" s="18" t="n"/>
      <c r="D987" s="19" t="n"/>
      <c r="E987" s="17" t="n"/>
      <c r="F987" s="21">
        <f>IF(OR(B987="",C987=""),"",IFERROR(INT(ROUND(IFERROR(TIMEVALUE(IF(LEN(C987)-LEN(SUBSTITUTE(C987,":",""))=2,"","0:")&amp;C987)*86400,"")/VALUE(SUBSTITUTE(B987,"K","")),0)/60)&amp;":"&amp;TEXT(MOD(ROUND(IFERROR(TIMEVALUE(IF(LEN(C987)-LEN(SUBSTITUTE(C987,":",""))=2,"","0:")&amp;C987)*86400,"")/VALUE(SUBSTITUTE(B987,"K","")),0),60),"00"),""))</f>
        <v/>
      </c>
      <c r="G987" s="21">
        <f>IF(A987="","",IF(COUNTIF(Atletas!$A$2:$A$302,A987)&gt;0,"Sí","No"))</f>
        <v/>
      </c>
    </row>
    <row r="988">
      <c r="A988" s="17" t="n"/>
      <c r="B988" s="17" t="n"/>
      <c r="C988" s="18" t="n"/>
      <c r="D988" s="19" t="n"/>
      <c r="E988" s="17" t="n"/>
      <c r="F988" s="21">
        <f>IF(OR(B988="",C988=""),"",IFERROR(INT(ROUND(IFERROR(TIMEVALUE(IF(LEN(C988)-LEN(SUBSTITUTE(C988,":",""))=2,"","0:")&amp;C988)*86400,"")/VALUE(SUBSTITUTE(B988,"K","")),0)/60)&amp;":"&amp;TEXT(MOD(ROUND(IFERROR(TIMEVALUE(IF(LEN(C988)-LEN(SUBSTITUTE(C988,":",""))=2,"","0:")&amp;C988)*86400,"")/VALUE(SUBSTITUTE(B988,"K","")),0),60),"00"),""))</f>
        <v/>
      </c>
      <c r="G988" s="21">
        <f>IF(A988="","",IF(COUNTIF(Atletas!$A$2:$A$302,A988)&gt;0,"Sí","No"))</f>
        <v/>
      </c>
    </row>
    <row r="989">
      <c r="A989" s="17" t="n"/>
      <c r="B989" s="17" t="n"/>
      <c r="C989" s="18" t="n"/>
      <c r="D989" s="19" t="n"/>
      <c r="E989" s="17" t="n"/>
      <c r="F989" s="21">
        <f>IF(OR(B989="",C989=""),"",IFERROR(INT(ROUND(IFERROR(TIMEVALUE(IF(LEN(C989)-LEN(SUBSTITUTE(C989,":",""))=2,"","0:")&amp;C989)*86400,"")/VALUE(SUBSTITUTE(B989,"K","")),0)/60)&amp;":"&amp;TEXT(MOD(ROUND(IFERROR(TIMEVALUE(IF(LEN(C989)-LEN(SUBSTITUTE(C989,":",""))=2,"","0:")&amp;C989)*86400,"")/VALUE(SUBSTITUTE(B989,"K","")),0),60),"00"),""))</f>
        <v/>
      </c>
      <c r="G989" s="21">
        <f>IF(A989="","",IF(COUNTIF(Atletas!$A$2:$A$302,A989)&gt;0,"Sí","No"))</f>
        <v/>
      </c>
    </row>
    <row r="990">
      <c r="A990" s="17" t="n"/>
      <c r="B990" s="17" t="n"/>
      <c r="C990" s="18" t="n"/>
      <c r="D990" s="19" t="n"/>
      <c r="E990" s="17" t="n"/>
      <c r="F990" s="21">
        <f>IF(OR(B990="",C990=""),"",IFERROR(INT(ROUND(IFERROR(TIMEVALUE(IF(LEN(C990)-LEN(SUBSTITUTE(C990,":",""))=2,"","0:")&amp;C990)*86400,"")/VALUE(SUBSTITUTE(B990,"K","")),0)/60)&amp;":"&amp;TEXT(MOD(ROUND(IFERROR(TIMEVALUE(IF(LEN(C990)-LEN(SUBSTITUTE(C990,":",""))=2,"","0:")&amp;C990)*86400,"")/VALUE(SUBSTITUTE(B990,"K","")),0),60),"00"),""))</f>
        <v/>
      </c>
      <c r="G990" s="21">
        <f>IF(A990="","",IF(COUNTIF(Atletas!$A$2:$A$302,A990)&gt;0,"Sí","No"))</f>
        <v/>
      </c>
    </row>
    <row r="991">
      <c r="A991" s="17" t="n"/>
      <c r="B991" s="17" t="n"/>
      <c r="C991" s="18" t="n"/>
      <c r="D991" s="19" t="n"/>
      <c r="E991" s="17" t="n"/>
      <c r="F991" s="21">
        <f>IF(OR(B991="",C991=""),"",IFERROR(INT(ROUND(IFERROR(TIMEVALUE(IF(LEN(C991)-LEN(SUBSTITUTE(C991,":",""))=2,"","0:")&amp;C991)*86400,"")/VALUE(SUBSTITUTE(B991,"K","")),0)/60)&amp;":"&amp;TEXT(MOD(ROUND(IFERROR(TIMEVALUE(IF(LEN(C991)-LEN(SUBSTITUTE(C991,":",""))=2,"","0:")&amp;C991)*86400,"")/VALUE(SUBSTITUTE(B991,"K","")),0),60),"00"),""))</f>
        <v/>
      </c>
      <c r="G991" s="21">
        <f>IF(A991="","",IF(COUNTIF(Atletas!$A$2:$A$302,A991)&gt;0,"Sí","No"))</f>
        <v/>
      </c>
    </row>
    <row r="992">
      <c r="A992" s="17" t="n"/>
      <c r="B992" s="17" t="n"/>
      <c r="C992" s="18" t="n"/>
      <c r="D992" s="19" t="n"/>
      <c r="E992" s="17" t="n"/>
      <c r="F992" s="21">
        <f>IF(OR(B992="",C992=""),"",IFERROR(INT(ROUND(IFERROR(TIMEVALUE(IF(LEN(C992)-LEN(SUBSTITUTE(C992,":",""))=2,"","0:")&amp;C992)*86400,"")/VALUE(SUBSTITUTE(B992,"K","")),0)/60)&amp;":"&amp;TEXT(MOD(ROUND(IFERROR(TIMEVALUE(IF(LEN(C992)-LEN(SUBSTITUTE(C992,":",""))=2,"","0:")&amp;C992)*86400,"")/VALUE(SUBSTITUTE(B992,"K","")),0),60),"00"),""))</f>
        <v/>
      </c>
      <c r="G992" s="21">
        <f>IF(A992="","",IF(COUNTIF(Atletas!$A$2:$A$302,A992)&gt;0,"Sí","No"))</f>
        <v/>
      </c>
    </row>
    <row r="993">
      <c r="A993" s="17" t="n"/>
      <c r="B993" s="17" t="n"/>
      <c r="C993" s="18" t="n"/>
      <c r="D993" s="19" t="n"/>
      <c r="E993" s="17" t="n"/>
      <c r="F993" s="21">
        <f>IF(OR(B993="",C993=""),"",IFERROR(INT(ROUND(IFERROR(TIMEVALUE(IF(LEN(C993)-LEN(SUBSTITUTE(C993,":",""))=2,"","0:")&amp;C993)*86400,"")/VALUE(SUBSTITUTE(B993,"K","")),0)/60)&amp;":"&amp;TEXT(MOD(ROUND(IFERROR(TIMEVALUE(IF(LEN(C993)-LEN(SUBSTITUTE(C993,":",""))=2,"","0:")&amp;C993)*86400,"")/VALUE(SUBSTITUTE(B993,"K","")),0),60),"00"),""))</f>
        <v/>
      </c>
      <c r="G993" s="21">
        <f>IF(A993="","",IF(COUNTIF(Atletas!$A$2:$A$302,A993)&gt;0,"Sí","No"))</f>
        <v/>
      </c>
    </row>
    <row r="994">
      <c r="A994" s="17" t="n"/>
      <c r="B994" s="17" t="n"/>
      <c r="C994" s="18" t="n"/>
      <c r="D994" s="19" t="n"/>
      <c r="E994" s="17" t="n"/>
      <c r="F994" s="21">
        <f>IF(OR(B994="",C994=""),"",IFERROR(INT(ROUND(IFERROR(TIMEVALUE(IF(LEN(C994)-LEN(SUBSTITUTE(C994,":",""))=2,"","0:")&amp;C994)*86400,"")/VALUE(SUBSTITUTE(B994,"K","")),0)/60)&amp;":"&amp;TEXT(MOD(ROUND(IFERROR(TIMEVALUE(IF(LEN(C994)-LEN(SUBSTITUTE(C994,":",""))=2,"","0:")&amp;C994)*86400,"")/VALUE(SUBSTITUTE(B994,"K","")),0),60),"00"),""))</f>
        <v/>
      </c>
      <c r="G994" s="21">
        <f>IF(A994="","",IF(COUNTIF(Atletas!$A$2:$A$302,A994)&gt;0,"Sí","No"))</f>
        <v/>
      </c>
    </row>
    <row r="995">
      <c r="A995" s="17" t="n"/>
      <c r="B995" s="17" t="n"/>
      <c r="C995" s="18" t="n"/>
      <c r="D995" s="19" t="n"/>
      <c r="E995" s="17" t="n"/>
      <c r="F995" s="21">
        <f>IF(OR(B995="",C995=""),"",IFERROR(INT(ROUND(IFERROR(TIMEVALUE(IF(LEN(C995)-LEN(SUBSTITUTE(C995,":",""))=2,"","0:")&amp;C995)*86400,"")/VALUE(SUBSTITUTE(B995,"K","")),0)/60)&amp;":"&amp;TEXT(MOD(ROUND(IFERROR(TIMEVALUE(IF(LEN(C995)-LEN(SUBSTITUTE(C995,":",""))=2,"","0:")&amp;C995)*86400,"")/VALUE(SUBSTITUTE(B995,"K","")),0),60),"00"),""))</f>
        <v/>
      </c>
      <c r="G995" s="21">
        <f>IF(A995="","",IF(COUNTIF(Atletas!$A$2:$A$302,A995)&gt;0,"Sí","No"))</f>
        <v/>
      </c>
    </row>
    <row r="996">
      <c r="A996" s="17" t="n"/>
      <c r="B996" s="17" t="n"/>
      <c r="C996" s="18" t="n"/>
      <c r="D996" s="19" t="n"/>
      <c r="E996" s="17" t="n"/>
      <c r="F996" s="21">
        <f>IF(OR(B996="",C996=""),"",IFERROR(INT(ROUND(IFERROR(TIMEVALUE(IF(LEN(C996)-LEN(SUBSTITUTE(C996,":",""))=2,"","0:")&amp;C996)*86400,"")/VALUE(SUBSTITUTE(B996,"K","")),0)/60)&amp;":"&amp;TEXT(MOD(ROUND(IFERROR(TIMEVALUE(IF(LEN(C996)-LEN(SUBSTITUTE(C996,":",""))=2,"","0:")&amp;C996)*86400,"")/VALUE(SUBSTITUTE(B996,"K","")),0),60),"00"),""))</f>
        <v/>
      </c>
      <c r="G996" s="21">
        <f>IF(A996="","",IF(COUNTIF(Atletas!$A$2:$A$302,A996)&gt;0,"Sí","No"))</f>
        <v/>
      </c>
    </row>
    <row r="997">
      <c r="A997" s="17" t="n"/>
      <c r="B997" s="17" t="n"/>
      <c r="C997" s="18" t="n"/>
      <c r="D997" s="19" t="n"/>
      <c r="E997" s="17" t="n"/>
      <c r="F997" s="21">
        <f>IF(OR(B997="",C997=""),"",IFERROR(INT(ROUND(IFERROR(TIMEVALUE(IF(LEN(C997)-LEN(SUBSTITUTE(C997,":",""))=2,"","0:")&amp;C997)*86400,"")/VALUE(SUBSTITUTE(B997,"K","")),0)/60)&amp;":"&amp;TEXT(MOD(ROUND(IFERROR(TIMEVALUE(IF(LEN(C997)-LEN(SUBSTITUTE(C997,":",""))=2,"","0:")&amp;C997)*86400,"")/VALUE(SUBSTITUTE(B997,"K","")),0),60),"00"),""))</f>
        <v/>
      </c>
      <c r="G997" s="21">
        <f>IF(A997="","",IF(COUNTIF(Atletas!$A$2:$A$302,A997)&gt;0,"Sí","No"))</f>
        <v/>
      </c>
    </row>
    <row r="998">
      <c r="A998" s="17" t="n"/>
      <c r="B998" s="17" t="n"/>
      <c r="C998" s="18" t="n"/>
      <c r="D998" s="19" t="n"/>
      <c r="E998" s="17" t="n"/>
      <c r="F998" s="21">
        <f>IF(OR(B998="",C998=""),"",IFERROR(INT(ROUND(IFERROR(TIMEVALUE(IF(LEN(C998)-LEN(SUBSTITUTE(C998,":",""))=2,"","0:")&amp;C998)*86400,"")/VALUE(SUBSTITUTE(B998,"K","")),0)/60)&amp;":"&amp;TEXT(MOD(ROUND(IFERROR(TIMEVALUE(IF(LEN(C998)-LEN(SUBSTITUTE(C998,":",""))=2,"","0:")&amp;C998)*86400,"")/VALUE(SUBSTITUTE(B998,"K","")),0),60),"00"),""))</f>
        <v/>
      </c>
      <c r="G998" s="21">
        <f>IF(A998="","",IF(COUNTIF(Atletas!$A$2:$A$302,A998)&gt;0,"Sí","No"))</f>
        <v/>
      </c>
    </row>
    <row r="999">
      <c r="A999" s="17" t="n"/>
      <c r="B999" s="17" t="n"/>
      <c r="C999" s="18" t="n"/>
      <c r="D999" s="19" t="n"/>
      <c r="E999" s="17" t="n"/>
      <c r="F999" s="21">
        <f>IF(OR(B999="",C999=""),"",IFERROR(INT(ROUND(IFERROR(TIMEVALUE(IF(LEN(C999)-LEN(SUBSTITUTE(C999,":",""))=2,"","0:")&amp;C999)*86400,"")/VALUE(SUBSTITUTE(B999,"K","")),0)/60)&amp;":"&amp;TEXT(MOD(ROUND(IFERROR(TIMEVALUE(IF(LEN(C999)-LEN(SUBSTITUTE(C999,":",""))=2,"","0:")&amp;C999)*86400,"")/VALUE(SUBSTITUTE(B999,"K","")),0),60),"00"),""))</f>
        <v/>
      </c>
      <c r="G999" s="21">
        <f>IF(A999="","",IF(COUNTIF(Atletas!$A$2:$A$302,A999)&gt;0,"Sí","No"))</f>
        <v/>
      </c>
    </row>
    <row r="1000">
      <c r="A1000" s="17" t="n"/>
      <c r="B1000" s="17" t="n"/>
      <c r="C1000" s="18" t="n"/>
      <c r="D1000" s="19" t="n"/>
      <c r="E1000" s="17" t="n"/>
      <c r="F1000" s="21">
        <f>IF(OR(B1000="",C1000=""),"",IFERROR(INT(ROUND(IFERROR(TIMEVALUE(IF(LEN(C1000)-LEN(SUBSTITUTE(C1000,":",""))=2,"","0:")&amp;C1000)*86400,"")/VALUE(SUBSTITUTE(B1000,"K","")),0)/60)&amp;":"&amp;TEXT(MOD(ROUND(IFERROR(TIMEVALUE(IF(LEN(C1000)-LEN(SUBSTITUTE(C1000,":",""))=2,"","0:")&amp;C1000)*86400,"")/VALUE(SUBSTITUTE(B1000,"K","")),0),60),"00"),""))</f>
        <v/>
      </c>
      <c r="G1000" s="21">
        <f>IF(A1000="","",IF(COUNTIF(Atletas!$A$2:$A$302,A1000)&gt;0,"Sí","No"))</f>
        <v/>
      </c>
    </row>
    <row r="1001">
      <c r="A1001" s="17" t="n"/>
      <c r="B1001" s="17" t="n"/>
      <c r="C1001" s="18" t="n"/>
      <c r="D1001" s="19" t="n"/>
      <c r="E1001" s="17" t="n"/>
      <c r="F1001" s="21">
        <f>IF(OR(B1001="",C1001=""),"",IFERROR(INT(ROUND(IFERROR(TIMEVALUE(IF(LEN(C1001)-LEN(SUBSTITUTE(C1001,":",""))=2,"","0:")&amp;C1001)*86400,"")/VALUE(SUBSTITUTE(B1001,"K","")),0)/60)&amp;":"&amp;TEXT(MOD(ROUND(IFERROR(TIMEVALUE(IF(LEN(C1001)-LEN(SUBSTITUTE(C1001,":",""))=2,"","0:")&amp;C1001)*86400,"")/VALUE(SUBSTITUTE(B1001,"K","")),0),60),"00"),""))</f>
        <v/>
      </c>
      <c r="G1001" s="21">
        <f>IF(A1001="","",IF(COUNTIF(Atletas!$A$2:$A$302,A1001)&gt;0,"Sí","No"))</f>
        <v/>
      </c>
    </row>
    <row r="1002">
      <c r="A1002" s="17" t="n"/>
      <c r="B1002" s="17" t="n"/>
      <c r="C1002" s="18" t="n"/>
      <c r="D1002" s="19" t="n"/>
      <c r="E1002" s="17" t="n"/>
      <c r="F1002" s="21">
        <f>IF(OR(B1002="",C1002=""),"",IFERROR(INT(ROUND(IFERROR(TIMEVALUE(IF(LEN(C1002)-LEN(SUBSTITUTE(C1002,":",""))=2,"","0:")&amp;C1002)*86400,"")/VALUE(SUBSTITUTE(B1002,"K","")),0)/60)&amp;":"&amp;TEXT(MOD(ROUND(IFERROR(TIMEVALUE(IF(LEN(C1002)-LEN(SUBSTITUTE(C1002,":",""))=2,"","0:")&amp;C1002)*86400,"")/VALUE(SUBSTITUTE(B1002,"K","")),0),60),"00"),""))</f>
        <v/>
      </c>
      <c r="G1002" s="21">
        <f>IF(A1002="","",IF(COUNTIF(Atletas!$A$2:$A$302,A1002)&gt;0,"Sí","No"))</f>
        <v/>
      </c>
    </row>
    <row r="1003">
      <c r="A1003" s="17" t="n"/>
      <c r="B1003" s="17" t="n"/>
      <c r="C1003" s="18" t="n"/>
      <c r="D1003" s="19" t="n"/>
      <c r="E1003" s="17" t="n"/>
      <c r="F1003" s="21">
        <f>IF(OR(B1003="",C1003=""),"",IFERROR(INT(ROUND(IFERROR(TIMEVALUE(IF(LEN(C1003)-LEN(SUBSTITUTE(C1003,":",""))=2,"","0:")&amp;C1003)*86400,"")/VALUE(SUBSTITUTE(B1003,"K","")),0)/60)&amp;":"&amp;TEXT(MOD(ROUND(IFERROR(TIMEVALUE(IF(LEN(C1003)-LEN(SUBSTITUTE(C1003,":",""))=2,"","0:")&amp;C1003)*86400,"")/VALUE(SUBSTITUTE(B1003,"K","")),0),60),"00"),""))</f>
        <v/>
      </c>
      <c r="G1003" s="21">
        <f>IF(A1003="","",IF(COUNTIF(Atletas!$A$2:$A$302,A1003)&gt;0,"Sí","No"))</f>
        <v/>
      </c>
    </row>
    <row r="1004">
      <c r="A1004" s="17" t="n"/>
      <c r="B1004" s="17" t="n"/>
      <c r="C1004" s="18" t="n"/>
      <c r="D1004" s="19" t="n"/>
      <c r="E1004" s="17" t="n"/>
      <c r="F1004" s="21">
        <f>IF(OR(B1004="",C1004=""),"",IFERROR(INT(ROUND(IFERROR(TIMEVALUE(IF(LEN(C1004)-LEN(SUBSTITUTE(C1004,":",""))=2,"","0:")&amp;C1004)*86400,"")/VALUE(SUBSTITUTE(B1004,"K","")),0)/60)&amp;":"&amp;TEXT(MOD(ROUND(IFERROR(TIMEVALUE(IF(LEN(C1004)-LEN(SUBSTITUTE(C1004,":",""))=2,"","0:")&amp;C1004)*86400,"")/VALUE(SUBSTITUTE(B1004,"K","")),0),60),"00"),""))</f>
        <v/>
      </c>
      <c r="G1004" s="21">
        <f>IF(A1004="","",IF(COUNTIF(Atletas!$A$2:$A$302,A1004)&gt;0,"Sí","No"))</f>
        <v/>
      </c>
    </row>
    <row r="1005">
      <c r="A1005" s="17" t="n"/>
      <c r="B1005" s="17" t="n"/>
      <c r="C1005" s="18" t="n"/>
      <c r="D1005" s="19" t="n"/>
      <c r="E1005" s="17" t="n"/>
      <c r="F1005" s="21">
        <f>IF(OR(B1005="",C1005=""),"",IFERROR(INT(ROUND(IFERROR(TIMEVALUE(IF(LEN(C1005)-LEN(SUBSTITUTE(C1005,":",""))=2,"","0:")&amp;C1005)*86400,"")/VALUE(SUBSTITUTE(B1005,"K","")),0)/60)&amp;":"&amp;TEXT(MOD(ROUND(IFERROR(TIMEVALUE(IF(LEN(C1005)-LEN(SUBSTITUTE(C1005,":",""))=2,"","0:")&amp;C1005)*86400,"")/VALUE(SUBSTITUTE(B1005,"K","")),0),60),"00"),""))</f>
        <v/>
      </c>
      <c r="G1005" s="21">
        <f>IF(A1005="","",IF(COUNTIF(Atletas!$A$2:$A$302,A1005)&gt;0,"Sí","No"))</f>
        <v/>
      </c>
    </row>
    <row r="1006">
      <c r="A1006" s="17" t="n"/>
      <c r="B1006" s="17" t="n"/>
      <c r="C1006" s="18" t="n"/>
      <c r="D1006" s="19" t="n"/>
      <c r="E1006" s="17" t="n"/>
      <c r="F1006" s="21">
        <f>IF(OR(B1006="",C1006=""),"",IFERROR(INT(ROUND(IFERROR(TIMEVALUE(IF(LEN(C1006)-LEN(SUBSTITUTE(C1006,":",""))=2,"","0:")&amp;C1006)*86400,"")/VALUE(SUBSTITUTE(B1006,"K","")),0)/60)&amp;":"&amp;TEXT(MOD(ROUND(IFERROR(TIMEVALUE(IF(LEN(C1006)-LEN(SUBSTITUTE(C1006,":",""))=2,"","0:")&amp;C1006)*86400,"")/VALUE(SUBSTITUTE(B1006,"K","")),0),60),"00"),""))</f>
        <v/>
      </c>
      <c r="G1006" s="21">
        <f>IF(A1006="","",IF(COUNTIF(Atletas!$A$2:$A$302,A1006)&gt;0,"Sí","No"))</f>
        <v/>
      </c>
    </row>
    <row r="1007">
      <c r="A1007" s="17" t="n"/>
      <c r="B1007" s="17" t="n"/>
      <c r="C1007" s="18" t="n"/>
      <c r="D1007" s="19" t="n"/>
      <c r="E1007" s="17" t="n"/>
      <c r="F1007" s="21">
        <f>IF(OR(B1007="",C1007=""),"",IFERROR(INT(ROUND(IFERROR(TIMEVALUE(IF(LEN(C1007)-LEN(SUBSTITUTE(C1007,":",""))=2,"","0:")&amp;C1007)*86400,"")/VALUE(SUBSTITUTE(B1007,"K","")),0)/60)&amp;":"&amp;TEXT(MOD(ROUND(IFERROR(TIMEVALUE(IF(LEN(C1007)-LEN(SUBSTITUTE(C1007,":",""))=2,"","0:")&amp;C1007)*86400,"")/VALUE(SUBSTITUTE(B1007,"K","")),0),60),"00"),""))</f>
        <v/>
      </c>
      <c r="G1007" s="21">
        <f>IF(A1007="","",IF(COUNTIF(Atletas!$A$2:$A$302,A1007)&gt;0,"Sí","No"))</f>
        <v/>
      </c>
    </row>
    <row r="1008">
      <c r="A1008" s="17" t="n"/>
      <c r="B1008" s="17" t="n"/>
      <c r="C1008" s="18" t="n"/>
      <c r="D1008" s="19" t="n"/>
      <c r="E1008" s="17" t="n"/>
      <c r="F1008" s="21">
        <f>IF(OR(B1008="",C1008=""),"",IFERROR(INT(ROUND(IFERROR(TIMEVALUE(IF(LEN(C1008)-LEN(SUBSTITUTE(C1008,":",""))=2,"","0:")&amp;C1008)*86400,"")/VALUE(SUBSTITUTE(B1008,"K","")),0)/60)&amp;":"&amp;TEXT(MOD(ROUND(IFERROR(TIMEVALUE(IF(LEN(C1008)-LEN(SUBSTITUTE(C1008,":",""))=2,"","0:")&amp;C1008)*86400,"")/VALUE(SUBSTITUTE(B1008,"K","")),0),60),"00"),""))</f>
        <v/>
      </c>
      <c r="G1008" s="21">
        <f>IF(A1008="","",IF(COUNTIF(Atletas!$A$2:$A$302,A1008)&gt;0,"Sí","No"))</f>
        <v/>
      </c>
    </row>
    <row r="1009">
      <c r="A1009" s="17" t="n"/>
      <c r="B1009" s="17" t="n"/>
      <c r="C1009" s="18" t="n"/>
      <c r="D1009" s="19" t="n"/>
      <c r="E1009" s="17" t="n"/>
      <c r="F1009" s="21">
        <f>IF(OR(B1009="",C1009=""),"",IFERROR(INT(ROUND(IFERROR(TIMEVALUE(IF(LEN(C1009)-LEN(SUBSTITUTE(C1009,":",""))=2,"","0:")&amp;C1009)*86400,"")/VALUE(SUBSTITUTE(B1009,"K","")),0)/60)&amp;":"&amp;TEXT(MOD(ROUND(IFERROR(TIMEVALUE(IF(LEN(C1009)-LEN(SUBSTITUTE(C1009,":",""))=2,"","0:")&amp;C1009)*86400,"")/VALUE(SUBSTITUTE(B1009,"K","")),0),60),"00"),""))</f>
        <v/>
      </c>
      <c r="G1009" s="21">
        <f>IF(A1009="","",IF(COUNTIF(Atletas!$A$2:$A$302,A1009)&gt;0,"Sí","No"))</f>
        <v/>
      </c>
    </row>
    <row r="1010">
      <c r="A1010" s="17" t="n"/>
      <c r="B1010" s="17" t="n"/>
      <c r="C1010" s="18" t="n"/>
      <c r="D1010" s="19" t="n"/>
      <c r="E1010" s="17" t="n"/>
      <c r="F1010" s="21">
        <f>IF(OR(B1010="",C1010=""),"",IFERROR(INT(ROUND(IFERROR(TIMEVALUE(IF(LEN(C1010)-LEN(SUBSTITUTE(C1010,":",""))=2,"","0:")&amp;C1010)*86400,"")/VALUE(SUBSTITUTE(B1010,"K","")),0)/60)&amp;":"&amp;TEXT(MOD(ROUND(IFERROR(TIMEVALUE(IF(LEN(C1010)-LEN(SUBSTITUTE(C1010,":",""))=2,"","0:")&amp;C1010)*86400,"")/VALUE(SUBSTITUTE(B1010,"K","")),0),60),"00"),""))</f>
        <v/>
      </c>
      <c r="G1010" s="21">
        <f>IF(A1010="","",IF(COUNTIF(Atletas!$A$2:$A$302,A1010)&gt;0,"Sí","No"))</f>
        <v/>
      </c>
    </row>
    <row r="1011">
      <c r="A1011" s="17" t="n"/>
      <c r="B1011" s="17" t="n"/>
      <c r="C1011" s="18" t="n"/>
      <c r="D1011" s="19" t="n"/>
      <c r="E1011" s="17" t="n"/>
      <c r="F1011" s="21">
        <f>IF(OR(B1011="",C1011=""),"",IFERROR(INT(ROUND(IFERROR(TIMEVALUE(IF(LEN(C1011)-LEN(SUBSTITUTE(C1011,":",""))=2,"","0:")&amp;C1011)*86400,"")/VALUE(SUBSTITUTE(B1011,"K","")),0)/60)&amp;":"&amp;TEXT(MOD(ROUND(IFERROR(TIMEVALUE(IF(LEN(C1011)-LEN(SUBSTITUTE(C1011,":",""))=2,"","0:")&amp;C1011)*86400,"")/VALUE(SUBSTITUTE(B1011,"K","")),0),60),"00"),""))</f>
        <v/>
      </c>
      <c r="G1011" s="21">
        <f>IF(A1011="","",IF(COUNTIF(Atletas!$A$2:$A$302,A1011)&gt;0,"Sí","No"))</f>
        <v/>
      </c>
    </row>
    <row r="1012">
      <c r="A1012" s="17" t="n"/>
      <c r="B1012" s="17" t="n"/>
      <c r="C1012" s="18" t="n"/>
      <c r="D1012" s="19" t="n"/>
      <c r="E1012" s="17" t="n"/>
      <c r="F1012" s="21">
        <f>IF(OR(B1012="",C1012=""),"",IFERROR(INT(ROUND(IFERROR(TIMEVALUE(IF(LEN(C1012)-LEN(SUBSTITUTE(C1012,":",""))=2,"","0:")&amp;C1012)*86400,"")/VALUE(SUBSTITUTE(B1012,"K","")),0)/60)&amp;":"&amp;TEXT(MOD(ROUND(IFERROR(TIMEVALUE(IF(LEN(C1012)-LEN(SUBSTITUTE(C1012,":",""))=2,"","0:")&amp;C1012)*86400,"")/VALUE(SUBSTITUTE(B1012,"K","")),0),60),"00"),""))</f>
        <v/>
      </c>
      <c r="G1012" s="21">
        <f>IF(A1012="","",IF(COUNTIF(Atletas!$A$2:$A$302,A1012)&gt;0,"Sí","No"))</f>
        <v/>
      </c>
    </row>
    <row r="1013">
      <c r="A1013" s="17" t="n"/>
      <c r="B1013" s="17" t="n"/>
      <c r="C1013" s="18" t="n"/>
      <c r="D1013" s="19" t="n"/>
      <c r="E1013" s="17" t="n"/>
      <c r="F1013" s="21">
        <f>IF(OR(B1013="",C1013=""),"",IFERROR(INT(ROUND(IFERROR(TIMEVALUE(IF(LEN(C1013)-LEN(SUBSTITUTE(C1013,":",""))=2,"","0:")&amp;C1013)*86400,"")/VALUE(SUBSTITUTE(B1013,"K","")),0)/60)&amp;":"&amp;TEXT(MOD(ROUND(IFERROR(TIMEVALUE(IF(LEN(C1013)-LEN(SUBSTITUTE(C1013,":",""))=2,"","0:")&amp;C1013)*86400,"")/VALUE(SUBSTITUTE(B1013,"K","")),0),60),"00"),""))</f>
        <v/>
      </c>
      <c r="G1013" s="21">
        <f>IF(A1013="","",IF(COUNTIF(Atletas!$A$2:$A$302,A1013)&gt;0,"Sí","No"))</f>
        <v/>
      </c>
    </row>
    <row r="1014">
      <c r="A1014" s="17" t="n"/>
      <c r="B1014" s="17" t="n"/>
      <c r="C1014" s="18" t="n"/>
      <c r="D1014" s="19" t="n"/>
      <c r="E1014" s="17" t="n"/>
      <c r="F1014" s="21">
        <f>IF(OR(B1014="",C1014=""),"",IFERROR(INT(ROUND(IFERROR(TIMEVALUE(IF(LEN(C1014)-LEN(SUBSTITUTE(C1014,":",""))=2,"","0:")&amp;C1014)*86400,"")/VALUE(SUBSTITUTE(B1014,"K","")),0)/60)&amp;":"&amp;TEXT(MOD(ROUND(IFERROR(TIMEVALUE(IF(LEN(C1014)-LEN(SUBSTITUTE(C1014,":",""))=2,"","0:")&amp;C1014)*86400,"")/VALUE(SUBSTITUTE(B1014,"K","")),0),60),"00"),""))</f>
        <v/>
      </c>
      <c r="G1014" s="21">
        <f>IF(A1014="","",IF(COUNTIF(Atletas!$A$2:$A$302,A1014)&gt;0,"Sí","No"))</f>
        <v/>
      </c>
    </row>
    <row r="1015">
      <c r="A1015" s="17" t="n"/>
      <c r="B1015" s="17" t="n"/>
      <c r="C1015" s="18" t="n"/>
      <c r="D1015" s="19" t="n"/>
      <c r="E1015" s="17" t="n"/>
      <c r="F1015" s="21">
        <f>IF(OR(B1015="",C1015=""),"",IFERROR(INT(ROUND(IFERROR(TIMEVALUE(IF(LEN(C1015)-LEN(SUBSTITUTE(C1015,":",""))=2,"","0:")&amp;C1015)*86400,"")/VALUE(SUBSTITUTE(B1015,"K","")),0)/60)&amp;":"&amp;TEXT(MOD(ROUND(IFERROR(TIMEVALUE(IF(LEN(C1015)-LEN(SUBSTITUTE(C1015,":",""))=2,"","0:")&amp;C1015)*86400,"")/VALUE(SUBSTITUTE(B1015,"K","")),0),60),"00"),""))</f>
        <v/>
      </c>
      <c r="G1015" s="21">
        <f>IF(A1015="","",IF(COUNTIF(Atletas!$A$2:$A$302,A1015)&gt;0,"Sí","No"))</f>
        <v/>
      </c>
    </row>
    <row r="1016">
      <c r="A1016" s="17" t="n"/>
      <c r="B1016" s="17" t="n"/>
      <c r="C1016" s="18" t="n"/>
      <c r="D1016" s="19" t="n"/>
      <c r="E1016" s="17" t="n"/>
      <c r="F1016" s="21">
        <f>IF(OR(B1016="",C1016=""),"",IFERROR(INT(ROUND(IFERROR(TIMEVALUE(IF(LEN(C1016)-LEN(SUBSTITUTE(C1016,":",""))=2,"","0:")&amp;C1016)*86400,"")/VALUE(SUBSTITUTE(B1016,"K","")),0)/60)&amp;":"&amp;TEXT(MOD(ROUND(IFERROR(TIMEVALUE(IF(LEN(C1016)-LEN(SUBSTITUTE(C1016,":",""))=2,"","0:")&amp;C1016)*86400,"")/VALUE(SUBSTITUTE(B1016,"K","")),0),60),"00"),""))</f>
        <v/>
      </c>
      <c r="G1016" s="21">
        <f>IF(A1016="","",IF(COUNTIF(Atletas!$A$2:$A$302,A1016)&gt;0,"Sí","No"))</f>
        <v/>
      </c>
    </row>
    <row r="1017">
      <c r="A1017" s="17" t="n"/>
      <c r="B1017" s="17" t="n"/>
      <c r="C1017" s="18" t="n"/>
      <c r="D1017" s="19" t="n"/>
      <c r="E1017" s="17" t="n"/>
      <c r="F1017" s="21">
        <f>IF(OR(B1017="",C1017=""),"",IFERROR(INT(ROUND(IFERROR(TIMEVALUE(IF(LEN(C1017)-LEN(SUBSTITUTE(C1017,":",""))=2,"","0:")&amp;C1017)*86400,"")/VALUE(SUBSTITUTE(B1017,"K","")),0)/60)&amp;":"&amp;TEXT(MOD(ROUND(IFERROR(TIMEVALUE(IF(LEN(C1017)-LEN(SUBSTITUTE(C1017,":",""))=2,"","0:")&amp;C1017)*86400,"")/VALUE(SUBSTITUTE(B1017,"K","")),0),60),"00"),""))</f>
        <v/>
      </c>
      <c r="G1017" s="21">
        <f>IF(A1017="","",IF(COUNTIF(Atletas!$A$2:$A$302,A1017)&gt;0,"Sí","No"))</f>
        <v/>
      </c>
    </row>
    <row r="1018">
      <c r="A1018" s="17" t="n"/>
      <c r="B1018" s="17" t="n"/>
      <c r="C1018" s="18" t="n"/>
      <c r="D1018" s="19" t="n"/>
      <c r="E1018" s="17" t="n"/>
      <c r="F1018" s="21">
        <f>IF(OR(B1018="",C1018=""),"",IFERROR(INT(ROUND(IFERROR(TIMEVALUE(IF(LEN(C1018)-LEN(SUBSTITUTE(C1018,":",""))=2,"","0:")&amp;C1018)*86400,"")/VALUE(SUBSTITUTE(B1018,"K","")),0)/60)&amp;":"&amp;TEXT(MOD(ROUND(IFERROR(TIMEVALUE(IF(LEN(C1018)-LEN(SUBSTITUTE(C1018,":",""))=2,"","0:")&amp;C1018)*86400,"")/VALUE(SUBSTITUTE(B1018,"K","")),0),60),"00"),""))</f>
        <v/>
      </c>
      <c r="G1018" s="21">
        <f>IF(A1018="","",IF(COUNTIF(Atletas!$A$2:$A$302,A1018)&gt;0,"Sí","No"))</f>
        <v/>
      </c>
    </row>
    <row r="1019">
      <c r="A1019" s="17" t="n"/>
      <c r="B1019" s="17" t="n"/>
      <c r="C1019" s="18" t="n"/>
      <c r="D1019" s="19" t="n"/>
      <c r="E1019" s="17" t="n"/>
      <c r="F1019" s="21">
        <f>IF(OR(B1019="",C1019=""),"",IFERROR(INT(ROUND(IFERROR(TIMEVALUE(IF(LEN(C1019)-LEN(SUBSTITUTE(C1019,":",""))=2,"","0:")&amp;C1019)*86400,"")/VALUE(SUBSTITUTE(B1019,"K","")),0)/60)&amp;":"&amp;TEXT(MOD(ROUND(IFERROR(TIMEVALUE(IF(LEN(C1019)-LEN(SUBSTITUTE(C1019,":",""))=2,"","0:")&amp;C1019)*86400,"")/VALUE(SUBSTITUTE(B1019,"K","")),0),60),"00"),""))</f>
        <v/>
      </c>
      <c r="G1019" s="21">
        <f>IF(A1019="","",IF(COUNTIF(Atletas!$A$2:$A$302,A1019)&gt;0,"Sí","No"))</f>
        <v/>
      </c>
    </row>
    <row r="1020">
      <c r="A1020" s="17" t="n"/>
      <c r="B1020" s="17" t="n"/>
      <c r="C1020" s="18" t="n"/>
      <c r="D1020" s="19" t="n"/>
      <c r="E1020" s="17" t="n"/>
      <c r="F1020" s="21">
        <f>IF(OR(B1020="",C1020=""),"",IFERROR(INT(ROUND(IFERROR(TIMEVALUE(IF(LEN(C1020)-LEN(SUBSTITUTE(C1020,":",""))=2,"","0:")&amp;C1020)*86400,"")/VALUE(SUBSTITUTE(B1020,"K","")),0)/60)&amp;":"&amp;TEXT(MOD(ROUND(IFERROR(TIMEVALUE(IF(LEN(C1020)-LEN(SUBSTITUTE(C1020,":",""))=2,"","0:")&amp;C1020)*86400,"")/VALUE(SUBSTITUTE(B1020,"K","")),0),60),"00"),""))</f>
        <v/>
      </c>
      <c r="G1020" s="21">
        <f>IF(A1020="","",IF(COUNTIF(Atletas!$A$2:$A$302,A1020)&gt;0,"Sí","No"))</f>
        <v/>
      </c>
    </row>
    <row r="1021">
      <c r="A1021" s="17" t="n"/>
      <c r="B1021" s="17" t="n"/>
      <c r="C1021" s="18" t="n"/>
      <c r="D1021" s="19" t="n"/>
      <c r="E1021" s="17" t="n"/>
      <c r="F1021" s="21">
        <f>IF(OR(B1021="",C1021=""),"",IFERROR(INT(ROUND(IFERROR(TIMEVALUE(IF(LEN(C1021)-LEN(SUBSTITUTE(C1021,":",""))=2,"","0:")&amp;C1021)*86400,"")/VALUE(SUBSTITUTE(B1021,"K","")),0)/60)&amp;":"&amp;TEXT(MOD(ROUND(IFERROR(TIMEVALUE(IF(LEN(C1021)-LEN(SUBSTITUTE(C1021,":",""))=2,"","0:")&amp;C1021)*86400,"")/VALUE(SUBSTITUTE(B1021,"K","")),0),60),"00"),""))</f>
        <v/>
      </c>
      <c r="G1021" s="21">
        <f>IF(A1021="","",IF(COUNTIF(Atletas!$A$2:$A$302,A1021)&gt;0,"Sí","No"))</f>
        <v/>
      </c>
    </row>
    <row r="1022">
      <c r="A1022" s="17" t="n"/>
      <c r="B1022" s="17" t="n"/>
      <c r="C1022" s="18" t="n"/>
      <c r="D1022" s="19" t="n"/>
      <c r="E1022" s="17" t="n"/>
      <c r="F1022" s="21">
        <f>IF(OR(B1022="",C1022=""),"",IFERROR(INT(ROUND(IFERROR(TIMEVALUE(IF(LEN(C1022)-LEN(SUBSTITUTE(C1022,":",""))=2,"","0:")&amp;C1022)*86400,"")/VALUE(SUBSTITUTE(B1022,"K","")),0)/60)&amp;":"&amp;TEXT(MOD(ROUND(IFERROR(TIMEVALUE(IF(LEN(C1022)-LEN(SUBSTITUTE(C1022,":",""))=2,"","0:")&amp;C1022)*86400,"")/VALUE(SUBSTITUTE(B1022,"K","")),0),60),"00"),""))</f>
        <v/>
      </c>
      <c r="G1022" s="21">
        <f>IF(A1022="","",IF(COUNTIF(Atletas!$A$2:$A$302,A1022)&gt;0,"Sí","No"))</f>
        <v/>
      </c>
    </row>
    <row r="1023">
      <c r="A1023" s="17" t="n"/>
      <c r="B1023" s="17" t="n"/>
      <c r="C1023" s="18" t="n"/>
      <c r="D1023" s="19" t="n"/>
      <c r="E1023" s="17" t="n"/>
      <c r="F1023" s="21">
        <f>IF(OR(B1023="",C1023=""),"",IFERROR(INT(ROUND(IFERROR(TIMEVALUE(IF(LEN(C1023)-LEN(SUBSTITUTE(C1023,":",""))=2,"","0:")&amp;C1023)*86400,"")/VALUE(SUBSTITUTE(B1023,"K","")),0)/60)&amp;":"&amp;TEXT(MOD(ROUND(IFERROR(TIMEVALUE(IF(LEN(C1023)-LEN(SUBSTITUTE(C1023,":",""))=2,"","0:")&amp;C1023)*86400,"")/VALUE(SUBSTITUTE(B1023,"K","")),0),60),"00"),""))</f>
        <v/>
      </c>
      <c r="G1023" s="21">
        <f>IF(A1023="","",IF(COUNTIF(Atletas!$A$2:$A$302,A1023)&gt;0,"Sí","No"))</f>
        <v/>
      </c>
    </row>
    <row r="1024">
      <c r="A1024" s="17" t="n"/>
      <c r="B1024" s="17" t="n"/>
      <c r="C1024" s="18" t="n"/>
      <c r="D1024" s="19" t="n"/>
      <c r="E1024" s="17" t="n"/>
      <c r="F1024" s="21">
        <f>IF(OR(B1024="",C1024=""),"",IFERROR(INT(ROUND(IFERROR(TIMEVALUE(IF(LEN(C1024)-LEN(SUBSTITUTE(C1024,":",""))=2,"","0:")&amp;C1024)*86400,"")/VALUE(SUBSTITUTE(B1024,"K","")),0)/60)&amp;":"&amp;TEXT(MOD(ROUND(IFERROR(TIMEVALUE(IF(LEN(C1024)-LEN(SUBSTITUTE(C1024,":",""))=2,"","0:")&amp;C1024)*86400,"")/VALUE(SUBSTITUTE(B1024,"K","")),0),60),"00"),""))</f>
        <v/>
      </c>
      <c r="G1024" s="21">
        <f>IF(A1024="","",IF(COUNTIF(Atletas!$A$2:$A$302,A1024)&gt;0,"Sí","No"))</f>
        <v/>
      </c>
    </row>
    <row r="1025">
      <c r="A1025" s="17" t="n"/>
      <c r="B1025" s="17" t="n"/>
      <c r="C1025" s="18" t="n"/>
      <c r="D1025" s="19" t="n"/>
      <c r="E1025" s="17" t="n"/>
      <c r="F1025" s="21">
        <f>IF(OR(B1025="",C1025=""),"",IFERROR(INT(ROUND(IFERROR(TIMEVALUE(IF(LEN(C1025)-LEN(SUBSTITUTE(C1025,":",""))=2,"","0:")&amp;C1025)*86400,"")/VALUE(SUBSTITUTE(B1025,"K","")),0)/60)&amp;":"&amp;TEXT(MOD(ROUND(IFERROR(TIMEVALUE(IF(LEN(C1025)-LEN(SUBSTITUTE(C1025,":",""))=2,"","0:")&amp;C1025)*86400,"")/VALUE(SUBSTITUTE(B1025,"K","")),0),60),"00"),""))</f>
        <v/>
      </c>
      <c r="G1025" s="21">
        <f>IF(A1025="","",IF(COUNTIF(Atletas!$A$2:$A$302,A1025)&gt;0,"Sí","No"))</f>
        <v/>
      </c>
    </row>
    <row r="1026">
      <c r="A1026" s="17" t="n"/>
      <c r="B1026" s="17" t="n"/>
      <c r="C1026" s="18" t="n"/>
      <c r="D1026" s="19" t="n"/>
      <c r="E1026" s="17" t="n"/>
      <c r="F1026" s="21">
        <f>IF(OR(B1026="",C1026=""),"",IFERROR(INT(ROUND(IFERROR(TIMEVALUE(IF(LEN(C1026)-LEN(SUBSTITUTE(C1026,":",""))=2,"","0:")&amp;C1026)*86400,"")/VALUE(SUBSTITUTE(B1026,"K","")),0)/60)&amp;":"&amp;TEXT(MOD(ROUND(IFERROR(TIMEVALUE(IF(LEN(C1026)-LEN(SUBSTITUTE(C1026,":",""))=2,"","0:")&amp;C1026)*86400,"")/VALUE(SUBSTITUTE(B1026,"K","")),0),60),"00"),""))</f>
        <v/>
      </c>
      <c r="G1026" s="21">
        <f>IF(A1026="","",IF(COUNTIF(Atletas!$A$2:$A$302,A1026)&gt;0,"Sí","No"))</f>
        <v/>
      </c>
    </row>
    <row r="1027">
      <c r="A1027" s="17" t="n"/>
      <c r="B1027" s="17" t="n"/>
      <c r="C1027" s="18" t="n"/>
      <c r="D1027" s="19" t="n"/>
      <c r="E1027" s="17" t="n"/>
      <c r="F1027" s="21">
        <f>IF(OR(B1027="",C1027=""),"",IFERROR(INT(ROUND(IFERROR(TIMEVALUE(IF(LEN(C1027)-LEN(SUBSTITUTE(C1027,":",""))=2,"","0:")&amp;C1027)*86400,"")/VALUE(SUBSTITUTE(B1027,"K","")),0)/60)&amp;":"&amp;TEXT(MOD(ROUND(IFERROR(TIMEVALUE(IF(LEN(C1027)-LEN(SUBSTITUTE(C1027,":",""))=2,"","0:")&amp;C1027)*86400,"")/VALUE(SUBSTITUTE(B1027,"K","")),0),60),"00"),""))</f>
        <v/>
      </c>
      <c r="G1027" s="21">
        <f>IF(A1027="","",IF(COUNTIF(Atletas!$A$2:$A$302,A1027)&gt;0,"Sí","No"))</f>
        <v/>
      </c>
    </row>
    <row r="1028">
      <c r="A1028" s="17" t="n"/>
      <c r="B1028" s="17" t="n"/>
      <c r="C1028" s="18" t="n"/>
      <c r="D1028" s="19" t="n"/>
      <c r="E1028" s="17" t="n"/>
      <c r="F1028" s="21">
        <f>IF(OR(B1028="",C1028=""),"",IFERROR(INT(ROUND(IFERROR(TIMEVALUE(IF(LEN(C1028)-LEN(SUBSTITUTE(C1028,":",""))=2,"","0:")&amp;C1028)*86400,"")/VALUE(SUBSTITUTE(B1028,"K","")),0)/60)&amp;":"&amp;TEXT(MOD(ROUND(IFERROR(TIMEVALUE(IF(LEN(C1028)-LEN(SUBSTITUTE(C1028,":",""))=2,"","0:")&amp;C1028)*86400,"")/VALUE(SUBSTITUTE(B1028,"K","")),0),60),"00"),""))</f>
        <v/>
      </c>
      <c r="G1028" s="21">
        <f>IF(A1028="","",IF(COUNTIF(Atletas!$A$2:$A$302,A1028)&gt;0,"Sí","No"))</f>
        <v/>
      </c>
    </row>
    <row r="1029">
      <c r="A1029" s="17" t="n"/>
      <c r="B1029" s="17" t="n"/>
      <c r="C1029" s="18" t="n"/>
      <c r="D1029" s="19" t="n"/>
      <c r="E1029" s="17" t="n"/>
      <c r="F1029" s="21">
        <f>IF(OR(B1029="",C1029=""),"",IFERROR(INT(ROUND(IFERROR(TIMEVALUE(IF(LEN(C1029)-LEN(SUBSTITUTE(C1029,":",""))=2,"","0:")&amp;C1029)*86400,"")/VALUE(SUBSTITUTE(B1029,"K","")),0)/60)&amp;":"&amp;TEXT(MOD(ROUND(IFERROR(TIMEVALUE(IF(LEN(C1029)-LEN(SUBSTITUTE(C1029,":",""))=2,"","0:")&amp;C1029)*86400,"")/VALUE(SUBSTITUTE(B1029,"K","")),0),60),"00"),""))</f>
        <v/>
      </c>
      <c r="G1029" s="21">
        <f>IF(A1029="","",IF(COUNTIF(Atletas!$A$2:$A$302,A1029)&gt;0,"Sí","No"))</f>
        <v/>
      </c>
    </row>
    <row r="1030">
      <c r="A1030" s="17" t="n"/>
      <c r="B1030" s="17" t="n"/>
      <c r="C1030" s="18" t="n"/>
      <c r="D1030" s="19" t="n"/>
      <c r="E1030" s="17" t="n"/>
      <c r="F1030" s="21">
        <f>IF(OR(B1030="",C1030=""),"",IFERROR(INT(ROUND(IFERROR(TIMEVALUE(IF(LEN(C1030)-LEN(SUBSTITUTE(C1030,":",""))=2,"","0:")&amp;C1030)*86400,"")/VALUE(SUBSTITUTE(B1030,"K","")),0)/60)&amp;":"&amp;TEXT(MOD(ROUND(IFERROR(TIMEVALUE(IF(LEN(C1030)-LEN(SUBSTITUTE(C1030,":",""))=2,"","0:")&amp;C1030)*86400,"")/VALUE(SUBSTITUTE(B1030,"K","")),0),60),"00"),""))</f>
        <v/>
      </c>
      <c r="G1030" s="21">
        <f>IF(A1030="","",IF(COUNTIF(Atletas!$A$2:$A$302,A1030)&gt;0,"Sí","No"))</f>
        <v/>
      </c>
    </row>
    <row r="1031">
      <c r="A1031" s="17" t="n"/>
      <c r="B1031" s="17" t="n"/>
      <c r="C1031" s="18" t="n"/>
      <c r="D1031" s="19" t="n"/>
      <c r="E1031" s="17" t="n"/>
      <c r="F1031" s="21">
        <f>IF(OR(B1031="",C1031=""),"",IFERROR(INT(ROUND(IFERROR(TIMEVALUE(IF(LEN(C1031)-LEN(SUBSTITUTE(C1031,":",""))=2,"","0:")&amp;C1031)*86400,"")/VALUE(SUBSTITUTE(B1031,"K","")),0)/60)&amp;":"&amp;TEXT(MOD(ROUND(IFERROR(TIMEVALUE(IF(LEN(C1031)-LEN(SUBSTITUTE(C1031,":",""))=2,"","0:")&amp;C1031)*86400,"")/VALUE(SUBSTITUTE(B1031,"K","")),0),60),"00"),""))</f>
        <v/>
      </c>
      <c r="G1031" s="21">
        <f>IF(A1031="","",IF(COUNTIF(Atletas!$A$2:$A$302,A1031)&gt;0,"Sí","No"))</f>
        <v/>
      </c>
    </row>
    <row r="1032">
      <c r="A1032" s="17" t="n"/>
      <c r="B1032" s="17" t="n"/>
      <c r="C1032" s="18" t="n"/>
      <c r="D1032" s="19" t="n"/>
      <c r="E1032" s="17" t="n"/>
      <c r="F1032" s="21">
        <f>IF(OR(B1032="",C1032=""),"",IFERROR(INT(ROUND(IFERROR(TIMEVALUE(IF(LEN(C1032)-LEN(SUBSTITUTE(C1032,":",""))=2,"","0:")&amp;C1032)*86400,"")/VALUE(SUBSTITUTE(B1032,"K","")),0)/60)&amp;":"&amp;TEXT(MOD(ROUND(IFERROR(TIMEVALUE(IF(LEN(C1032)-LEN(SUBSTITUTE(C1032,":",""))=2,"","0:")&amp;C1032)*86400,"")/VALUE(SUBSTITUTE(B1032,"K","")),0),60),"00"),""))</f>
        <v/>
      </c>
      <c r="G1032" s="21">
        <f>IF(A1032="","",IF(COUNTIF(Atletas!$A$2:$A$302,A1032)&gt;0,"Sí","No"))</f>
        <v/>
      </c>
    </row>
    <row r="1033">
      <c r="A1033" s="17" t="n"/>
      <c r="B1033" s="17" t="n"/>
      <c r="C1033" s="18" t="n"/>
      <c r="D1033" s="19" t="n"/>
      <c r="E1033" s="17" t="n"/>
      <c r="F1033" s="21">
        <f>IF(OR(B1033="",C1033=""),"",IFERROR(INT(ROUND(IFERROR(TIMEVALUE(IF(LEN(C1033)-LEN(SUBSTITUTE(C1033,":",""))=2,"","0:")&amp;C1033)*86400,"")/VALUE(SUBSTITUTE(B1033,"K","")),0)/60)&amp;":"&amp;TEXT(MOD(ROUND(IFERROR(TIMEVALUE(IF(LEN(C1033)-LEN(SUBSTITUTE(C1033,":",""))=2,"","0:")&amp;C1033)*86400,"")/VALUE(SUBSTITUTE(B1033,"K","")),0),60),"00"),""))</f>
        <v/>
      </c>
      <c r="G1033" s="21">
        <f>IF(A1033="","",IF(COUNTIF(Atletas!$A$2:$A$302,A1033)&gt;0,"Sí","No"))</f>
        <v/>
      </c>
    </row>
    <row r="1034">
      <c r="A1034" s="17" t="n"/>
      <c r="B1034" s="17" t="n"/>
      <c r="C1034" s="18" t="n"/>
      <c r="D1034" s="19" t="n"/>
      <c r="E1034" s="17" t="n"/>
      <c r="F1034" s="21">
        <f>IF(OR(B1034="",C1034=""),"",IFERROR(INT(ROUND(IFERROR(TIMEVALUE(IF(LEN(C1034)-LEN(SUBSTITUTE(C1034,":",""))=2,"","0:")&amp;C1034)*86400,"")/VALUE(SUBSTITUTE(B1034,"K","")),0)/60)&amp;":"&amp;TEXT(MOD(ROUND(IFERROR(TIMEVALUE(IF(LEN(C1034)-LEN(SUBSTITUTE(C1034,":",""))=2,"","0:")&amp;C1034)*86400,"")/VALUE(SUBSTITUTE(B1034,"K","")),0),60),"00"),""))</f>
        <v/>
      </c>
      <c r="G1034" s="21">
        <f>IF(A1034="","",IF(COUNTIF(Atletas!$A$2:$A$302,A1034)&gt;0,"Sí","No"))</f>
        <v/>
      </c>
    </row>
    <row r="1035">
      <c r="A1035" s="17" t="n"/>
      <c r="B1035" s="17" t="n"/>
      <c r="C1035" s="18" t="n"/>
      <c r="D1035" s="19" t="n"/>
      <c r="E1035" s="17" t="n"/>
      <c r="F1035" s="21">
        <f>IF(OR(B1035="",C1035=""),"",IFERROR(INT(ROUND(IFERROR(TIMEVALUE(IF(LEN(C1035)-LEN(SUBSTITUTE(C1035,":",""))=2,"","0:")&amp;C1035)*86400,"")/VALUE(SUBSTITUTE(B1035,"K","")),0)/60)&amp;":"&amp;TEXT(MOD(ROUND(IFERROR(TIMEVALUE(IF(LEN(C1035)-LEN(SUBSTITUTE(C1035,":",""))=2,"","0:")&amp;C1035)*86400,"")/VALUE(SUBSTITUTE(B1035,"K","")),0),60),"00"),""))</f>
        <v/>
      </c>
      <c r="G1035" s="21">
        <f>IF(A1035="","",IF(COUNTIF(Atletas!$A$2:$A$302,A1035)&gt;0,"Sí","No"))</f>
        <v/>
      </c>
    </row>
    <row r="1036">
      <c r="A1036" s="17" t="n"/>
      <c r="B1036" s="17" t="n"/>
      <c r="C1036" s="18" t="n"/>
      <c r="D1036" s="19" t="n"/>
      <c r="E1036" s="17" t="n"/>
      <c r="F1036" s="21">
        <f>IF(OR(B1036="",C1036=""),"",IFERROR(INT(ROUND(IFERROR(TIMEVALUE(IF(LEN(C1036)-LEN(SUBSTITUTE(C1036,":",""))=2,"","0:")&amp;C1036)*86400,"")/VALUE(SUBSTITUTE(B1036,"K","")),0)/60)&amp;":"&amp;TEXT(MOD(ROUND(IFERROR(TIMEVALUE(IF(LEN(C1036)-LEN(SUBSTITUTE(C1036,":",""))=2,"","0:")&amp;C1036)*86400,"")/VALUE(SUBSTITUTE(B1036,"K","")),0),60),"00"),""))</f>
        <v/>
      </c>
      <c r="G1036" s="21">
        <f>IF(A1036="","",IF(COUNTIF(Atletas!$A$2:$A$302,A1036)&gt;0,"Sí","No"))</f>
        <v/>
      </c>
    </row>
    <row r="1037">
      <c r="A1037" s="17" t="n"/>
      <c r="B1037" s="17" t="n"/>
      <c r="C1037" s="18" t="n"/>
      <c r="D1037" s="19" t="n"/>
      <c r="E1037" s="17" t="n"/>
      <c r="F1037" s="21">
        <f>IF(OR(B1037="",C1037=""),"",IFERROR(INT(ROUND(IFERROR(TIMEVALUE(IF(LEN(C1037)-LEN(SUBSTITUTE(C1037,":",""))=2,"","0:")&amp;C1037)*86400,"")/VALUE(SUBSTITUTE(B1037,"K","")),0)/60)&amp;":"&amp;TEXT(MOD(ROUND(IFERROR(TIMEVALUE(IF(LEN(C1037)-LEN(SUBSTITUTE(C1037,":",""))=2,"","0:")&amp;C1037)*86400,"")/VALUE(SUBSTITUTE(B1037,"K","")),0),60),"00"),""))</f>
        <v/>
      </c>
      <c r="G1037" s="21">
        <f>IF(A1037="","",IF(COUNTIF(Atletas!$A$2:$A$302,A1037)&gt;0,"Sí","No"))</f>
        <v/>
      </c>
    </row>
    <row r="1038">
      <c r="A1038" s="17" t="n"/>
      <c r="B1038" s="17" t="n"/>
      <c r="C1038" s="18" t="n"/>
      <c r="D1038" s="19" t="n"/>
      <c r="E1038" s="17" t="n"/>
      <c r="F1038" s="21">
        <f>IF(OR(B1038="",C1038=""),"",IFERROR(INT(ROUND(IFERROR(TIMEVALUE(IF(LEN(C1038)-LEN(SUBSTITUTE(C1038,":",""))=2,"","0:")&amp;C1038)*86400,"")/VALUE(SUBSTITUTE(B1038,"K","")),0)/60)&amp;":"&amp;TEXT(MOD(ROUND(IFERROR(TIMEVALUE(IF(LEN(C1038)-LEN(SUBSTITUTE(C1038,":",""))=2,"","0:")&amp;C1038)*86400,"")/VALUE(SUBSTITUTE(B1038,"K","")),0),60),"00"),""))</f>
        <v/>
      </c>
      <c r="G1038" s="21">
        <f>IF(A1038="","",IF(COUNTIF(Atletas!$A$2:$A$302,A1038)&gt;0,"Sí","No"))</f>
        <v/>
      </c>
    </row>
    <row r="1039">
      <c r="A1039" s="17" t="n"/>
      <c r="B1039" s="17" t="n"/>
      <c r="C1039" s="18" t="n"/>
      <c r="D1039" s="19" t="n"/>
      <c r="E1039" s="17" t="n"/>
      <c r="F1039" s="21">
        <f>IF(OR(B1039="",C1039=""),"",IFERROR(INT(ROUND(IFERROR(TIMEVALUE(IF(LEN(C1039)-LEN(SUBSTITUTE(C1039,":",""))=2,"","0:")&amp;C1039)*86400,"")/VALUE(SUBSTITUTE(B1039,"K","")),0)/60)&amp;":"&amp;TEXT(MOD(ROUND(IFERROR(TIMEVALUE(IF(LEN(C1039)-LEN(SUBSTITUTE(C1039,":",""))=2,"","0:")&amp;C1039)*86400,"")/VALUE(SUBSTITUTE(B1039,"K","")),0),60),"00"),""))</f>
        <v/>
      </c>
      <c r="G1039" s="21">
        <f>IF(A1039="","",IF(COUNTIF(Atletas!$A$2:$A$302,A1039)&gt;0,"Sí","No"))</f>
        <v/>
      </c>
    </row>
    <row r="1040">
      <c r="A1040" s="17" t="n"/>
      <c r="B1040" s="17" t="n"/>
      <c r="C1040" s="18" t="n"/>
      <c r="D1040" s="19" t="n"/>
      <c r="E1040" s="17" t="n"/>
      <c r="F1040" s="21">
        <f>IF(OR(B1040="",C1040=""),"",IFERROR(INT(ROUND(IFERROR(TIMEVALUE(IF(LEN(C1040)-LEN(SUBSTITUTE(C1040,":",""))=2,"","0:")&amp;C1040)*86400,"")/VALUE(SUBSTITUTE(B1040,"K","")),0)/60)&amp;":"&amp;TEXT(MOD(ROUND(IFERROR(TIMEVALUE(IF(LEN(C1040)-LEN(SUBSTITUTE(C1040,":",""))=2,"","0:")&amp;C1040)*86400,"")/VALUE(SUBSTITUTE(B1040,"K","")),0),60),"00"),""))</f>
        <v/>
      </c>
      <c r="G1040" s="21">
        <f>IF(A1040="","",IF(COUNTIF(Atletas!$A$2:$A$302,A1040)&gt;0,"Sí","No"))</f>
        <v/>
      </c>
    </row>
    <row r="1041">
      <c r="A1041" s="17" t="n"/>
      <c r="B1041" s="17" t="n"/>
      <c r="C1041" s="18" t="n"/>
      <c r="D1041" s="19" t="n"/>
      <c r="E1041" s="17" t="n"/>
      <c r="F1041" s="21">
        <f>IF(OR(B1041="",C1041=""),"",IFERROR(INT(ROUND(IFERROR(TIMEVALUE(IF(LEN(C1041)-LEN(SUBSTITUTE(C1041,":",""))=2,"","0:")&amp;C1041)*86400,"")/VALUE(SUBSTITUTE(B1041,"K","")),0)/60)&amp;":"&amp;TEXT(MOD(ROUND(IFERROR(TIMEVALUE(IF(LEN(C1041)-LEN(SUBSTITUTE(C1041,":",""))=2,"","0:")&amp;C1041)*86400,"")/VALUE(SUBSTITUTE(B1041,"K","")),0),60),"00"),""))</f>
        <v/>
      </c>
      <c r="G1041" s="21">
        <f>IF(A1041="","",IF(COUNTIF(Atletas!$A$2:$A$302,A1041)&gt;0,"Sí","No"))</f>
        <v/>
      </c>
    </row>
    <row r="1042">
      <c r="A1042" s="17" t="n"/>
      <c r="B1042" s="17" t="n"/>
      <c r="C1042" s="18" t="n"/>
      <c r="D1042" s="19" t="n"/>
      <c r="E1042" s="17" t="n"/>
      <c r="F1042" s="21">
        <f>IF(OR(B1042="",C1042=""),"",IFERROR(INT(ROUND(IFERROR(TIMEVALUE(IF(LEN(C1042)-LEN(SUBSTITUTE(C1042,":",""))=2,"","0:")&amp;C1042)*86400,"")/VALUE(SUBSTITUTE(B1042,"K","")),0)/60)&amp;":"&amp;TEXT(MOD(ROUND(IFERROR(TIMEVALUE(IF(LEN(C1042)-LEN(SUBSTITUTE(C1042,":",""))=2,"","0:")&amp;C1042)*86400,"")/VALUE(SUBSTITUTE(B1042,"K","")),0),60),"00"),""))</f>
        <v/>
      </c>
      <c r="G1042" s="21">
        <f>IF(A1042="","",IF(COUNTIF(Atletas!$A$2:$A$302,A1042)&gt;0,"Sí","No"))</f>
        <v/>
      </c>
    </row>
    <row r="1043">
      <c r="A1043" s="17" t="n"/>
      <c r="B1043" s="17" t="n"/>
      <c r="C1043" s="18" t="n"/>
      <c r="D1043" s="19" t="n"/>
      <c r="E1043" s="17" t="n"/>
      <c r="F1043" s="21">
        <f>IF(OR(B1043="",C1043=""),"",IFERROR(INT(ROUND(IFERROR(TIMEVALUE(IF(LEN(C1043)-LEN(SUBSTITUTE(C1043,":",""))=2,"","0:")&amp;C1043)*86400,"")/VALUE(SUBSTITUTE(B1043,"K","")),0)/60)&amp;":"&amp;TEXT(MOD(ROUND(IFERROR(TIMEVALUE(IF(LEN(C1043)-LEN(SUBSTITUTE(C1043,":",""))=2,"","0:")&amp;C1043)*86400,"")/VALUE(SUBSTITUTE(B1043,"K","")),0),60),"00"),""))</f>
        <v/>
      </c>
      <c r="G1043" s="21">
        <f>IF(A1043="","",IF(COUNTIF(Atletas!$A$2:$A$302,A1043)&gt;0,"Sí","No"))</f>
        <v/>
      </c>
    </row>
    <row r="1044">
      <c r="A1044" s="17" t="n"/>
      <c r="B1044" s="17" t="n"/>
      <c r="C1044" s="18" t="n"/>
      <c r="D1044" s="19" t="n"/>
      <c r="E1044" s="17" t="n"/>
      <c r="F1044" s="21">
        <f>IF(OR(B1044="",C1044=""),"",IFERROR(INT(ROUND(IFERROR(TIMEVALUE(IF(LEN(C1044)-LEN(SUBSTITUTE(C1044,":",""))=2,"","0:")&amp;C1044)*86400,"")/VALUE(SUBSTITUTE(B1044,"K","")),0)/60)&amp;":"&amp;TEXT(MOD(ROUND(IFERROR(TIMEVALUE(IF(LEN(C1044)-LEN(SUBSTITUTE(C1044,":",""))=2,"","0:")&amp;C1044)*86400,"")/VALUE(SUBSTITUTE(B1044,"K","")),0),60),"00"),""))</f>
        <v/>
      </c>
      <c r="G1044" s="21">
        <f>IF(A1044="","",IF(COUNTIF(Atletas!$A$2:$A$302,A1044)&gt;0,"Sí","No"))</f>
        <v/>
      </c>
    </row>
    <row r="1045">
      <c r="A1045" s="17" t="n"/>
      <c r="B1045" s="17" t="n"/>
      <c r="C1045" s="18" t="n"/>
      <c r="D1045" s="19" t="n"/>
      <c r="E1045" s="17" t="n"/>
      <c r="F1045" s="21">
        <f>IF(OR(B1045="",C1045=""),"",IFERROR(INT(ROUND(IFERROR(TIMEVALUE(IF(LEN(C1045)-LEN(SUBSTITUTE(C1045,":",""))=2,"","0:")&amp;C1045)*86400,"")/VALUE(SUBSTITUTE(B1045,"K","")),0)/60)&amp;":"&amp;TEXT(MOD(ROUND(IFERROR(TIMEVALUE(IF(LEN(C1045)-LEN(SUBSTITUTE(C1045,":",""))=2,"","0:")&amp;C1045)*86400,"")/VALUE(SUBSTITUTE(B1045,"K","")),0),60),"00"),""))</f>
        <v/>
      </c>
      <c r="G1045" s="21">
        <f>IF(A1045="","",IF(COUNTIF(Atletas!$A$2:$A$302,A1045)&gt;0,"Sí","No"))</f>
        <v/>
      </c>
    </row>
    <row r="1046">
      <c r="A1046" s="17" t="n"/>
      <c r="B1046" s="17" t="n"/>
      <c r="C1046" s="18" t="n"/>
      <c r="D1046" s="19" t="n"/>
      <c r="E1046" s="17" t="n"/>
      <c r="F1046" s="21">
        <f>IF(OR(B1046="",C1046=""),"",IFERROR(INT(ROUND(IFERROR(TIMEVALUE(IF(LEN(C1046)-LEN(SUBSTITUTE(C1046,":",""))=2,"","0:")&amp;C1046)*86400,"")/VALUE(SUBSTITUTE(B1046,"K","")),0)/60)&amp;":"&amp;TEXT(MOD(ROUND(IFERROR(TIMEVALUE(IF(LEN(C1046)-LEN(SUBSTITUTE(C1046,":",""))=2,"","0:")&amp;C1046)*86400,"")/VALUE(SUBSTITUTE(B1046,"K","")),0),60),"00"),""))</f>
        <v/>
      </c>
      <c r="G1046" s="21">
        <f>IF(A1046="","",IF(COUNTIF(Atletas!$A$2:$A$302,A1046)&gt;0,"Sí","No"))</f>
        <v/>
      </c>
    </row>
    <row r="1047">
      <c r="A1047" s="17" t="n"/>
      <c r="B1047" s="17" t="n"/>
      <c r="C1047" s="18" t="n"/>
      <c r="D1047" s="19" t="n"/>
      <c r="E1047" s="17" t="n"/>
      <c r="F1047" s="21">
        <f>IF(OR(B1047="",C1047=""),"",IFERROR(INT(ROUND(IFERROR(TIMEVALUE(IF(LEN(C1047)-LEN(SUBSTITUTE(C1047,":",""))=2,"","0:")&amp;C1047)*86400,"")/VALUE(SUBSTITUTE(B1047,"K","")),0)/60)&amp;":"&amp;TEXT(MOD(ROUND(IFERROR(TIMEVALUE(IF(LEN(C1047)-LEN(SUBSTITUTE(C1047,":",""))=2,"","0:")&amp;C1047)*86400,"")/VALUE(SUBSTITUTE(B1047,"K","")),0),60),"00"),""))</f>
        <v/>
      </c>
      <c r="G1047" s="21">
        <f>IF(A1047="","",IF(COUNTIF(Atletas!$A$2:$A$302,A1047)&gt;0,"Sí","No"))</f>
        <v/>
      </c>
    </row>
    <row r="1048">
      <c r="A1048" s="17" t="n"/>
      <c r="B1048" s="17" t="n"/>
      <c r="C1048" s="18" t="n"/>
      <c r="D1048" s="19" t="n"/>
      <c r="E1048" s="17" t="n"/>
      <c r="F1048" s="21">
        <f>IF(OR(B1048="",C1048=""),"",IFERROR(INT(ROUND(IFERROR(TIMEVALUE(IF(LEN(C1048)-LEN(SUBSTITUTE(C1048,":",""))=2,"","0:")&amp;C1048)*86400,"")/VALUE(SUBSTITUTE(B1048,"K","")),0)/60)&amp;":"&amp;TEXT(MOD(ROUND(IFERROR(TIMEVALUE(IF(LEN(C1048)-LEN(SUBSTITUTE(C1048,":",""))=2,"","0:")&amp;C1048)*86400,"")/VALUE(SUBSTITUTE(B1048,"K","")),0),60),"00"),""))</f>
        <v/>
      </c>
      <c r="G1048" s="21">
        <f>IF(A1048="","",IF(COUNTIF(Atletas!$A$2:$A$302,A1048)&gt;0,"Sí","No"))</f>
        <v/>
      </c>
    </row>
    <row r="1049">
      <c r="A1049" s="17" t="n"/>
      <c r="B1049" s="17" t="n"/>
      <c r="C1049" s="18" t="n"/>
      <c r="D1049" s="19" t="n"/>
      <c r="E1049" s="17" t="n"/>
      <c r="F1049" s="21">
        <f>IF(OR(B1049="",C1049=""),"",IFERROR(INT(ROUND(IFERROR(TIMEVALUE(IF(LEN(C1049)-LEN(SUBSTITUTE(C1049,":",""))=2,"","0:")&amp;C1049)*86400,"")/VALUE(SUBSTITUTE(B1049,"K","")),0)/60)&amp;":"&amp;TEXT(MOD(ROUND(IFERROR(TIMEVALUE(IF(LEN(C1049)-LEN(SUBSTITUTE(C1049,":",""))=2,"","0:")&amp;C1049)*86400,"")/VALUE(SUBSTITUTE(B1049,"K","")),0),60),"00"),""))</f>
        <v/>
      </c>
      <c r="G1049" s="21">
        <f>IF(A1049="","",IF(COUNTIF(Atletas!$A$2:$A$302,A1049)&gt;0,"Sí","No"))</f>
        <v/>
      </c>
    </row>
    <row r="1050">
      <c r="A1050" s="17" t="n"/>
      <c r="B1050" s="17" t="n"/>
      <c r="C1050" s="18" t="n"/>
      <c r="D1050" s="19" t="n"/>
      <c r="E1050" s="17" t="n"/>
      <c r="F1050" s="21">
        <f>IF(OR(B1050="",C1050=""),"",IFERROR(INT(ROUND(IFERROR(TIMEVALUE(IF(LEN(C1050)-LEN(SUBSTITUTE(C1050,":",""))=2,"","0:")&amp;C1050)*86400,"")/VALUE(SUBSTITUTE(B1050,"K","")),0)/60)&amp;":"&amp;TEXT(MOD(ROUND(IFERROR(TIMEVALUE(IF(LEN(C1050)-LEN(SUBSTITUTE(C1050,":",""))=2,"","0:")&amp;C1050)*86400,"")/VALUE(SUBSTITUTE(B1050,"K","")),0),60),"00"),""))</f>
        <v/>
      </c>
      <c r="G1050" s="21">
        <f>IF(A1050="","",IF(COUNTIF(Atletas!$A$2:$A$302,A1050)&gt;0,"Sí","No"))</f>
        <v/>
      </c>
    </row>
    <row r="1051">
      <c r="A1051" s="17" t="n"/>
      <c r="B1051" s="17" t="n"/>
      <c r="C1051" s="18" t="n"/>
      <c r="D1051" s="19" t="n"/>
      <c r="E1051" s="17" t="n"/>
      <c r="F1051" s="21">
        <f>IF(OR(B1051="",C1051=""),"",IFERROR(INT(ROUND(IFERROR(TIMEVALUE(IF(LEN(C1051)-LEN(SUBSTITUTE(C1051,":",""))=2,"","0:")&amp;C1051)*86400,"")/VALUE(SUBSTITUTE(B1051,"K","")),0)/60)&amp;":"&amp;TEXT(MOD(ROUND(IFERROR(TIMEVALUE(IF(LEN(C1051)-LEN(SUBSTITUTE(C1051,":",""))=2,"","0:")&amp;C1051)*86400,"")/VALUE(SUBSTITUTE(B1051,"K","")),0),60),"00"),""))</f>
        <v/>
      </c>
      <c r="G1051" s="21">
        <f>IF(A1051="","",IF(COUNTIF(Atletas!$A$2:$A$302,A1051)&gt;0,"Sí","No"))</f>
        <v/>
      </c>
    </row>
    <row r="1052">
      <c r="A1052" s="17" t="n"/>
      <c r="B1052" s="17" t="n"/>
      <c r="C1052" s="18" t="n"/>
      <c r="D1052" s="19" t="n"/>
      <c r="E1052" s="17" t="n"/>
      <c r="F1052" s="21">
        <f>IF(OR(B1052="",C1052=""),"",IFERROR(INT(ROUND(IFERROR(TIMEVALUE(IF(LEN(C1052)-LEN(SUBSTITUTE(C1052,":",""))=2,"","0:")&amp;C1052)*86400,"")/VALUE(SUBSTITUTE(B1052,"K","")),0)/60)&amp;":"&amp;TEXT(MOD(ROUND(IFERROR(TIMEVALUE(IF(LEN(C1052)-LEN(SUBSTITUTE(C1052,":",""))=2,"","0:")&amp;C1052)*86400,"")/VALUE(SUBSTITUTE(B1052,"K","")),0),60),"00"),""))</f>
        <v/>
      </c>
      <c r="G1052" s="21">
        <f>IF(A1052="","",IF(COUNTIF(Atletas!$A$2:$A$302,A1052)&gt;0,"Sí","No"))</f>
        <v/>
      </c>
    </row>
    <row r="1053">
      <c r="A1053" s="17" t="n"/>
      <c r="B1053" s="17" t="n"/>
      <c r="C1053" s="18" t="n"/>
      <c r="D1053" s="19" t="n"/>
      <c r="E1053" s="17" t="n"/>
      <c r="F1053" s="21">
        <f>IF(OR(B1053="",C1053=""),"",IFERROR(INT(ROUND(IFERROR(TIMEVALUE(IF(LEN(C1053)-LEN(SUBSTITUTE(C1053,":",""))=2,"","0:")&amp;C1053)*86400,"")/VALUE(SUBSTITUTE(B1053,"K","")),0)/60)&amp;":"&amp;TEXT(MOD(ROUND(IFERROR(TIMEVALUE(IF(LEN(C1053)-LEN(SUBSTITUTE(C1053,":",""))=2,"","0:")&amp;C1053)*86400,"")/VALUE(SUBSTITUTE(B1053,"K","")),0),60),"00"),""))</f>
        <v/>
      </c>
      <c r="G1053" s="21">
        <f>IF(A1053="","",IF(COUNTIF(Atletas!$A$2:$A$302,A1053)&gt;0,"Sí","No"))</f>
        <v/>
      </c>
    </row>
    <row r="1054">
      <c r="A1054" s="17" t="n"/>
      <c r="B1054" s="17" t="n"/>
      <c r="C1054" s="18" t="n"/>
      <c r="D1054" s="19" t="n"/>
      <c r="E1054" s="17" t="n"/>
      <c r="F1054" s="21">
        <f>IF(OR(B1054="",C1054=""),"",IFERROR(INT(ROUND(IFERROR(TIMEVALUE(IF(LEN(C1054)-LEN(SUBSTITUTE(C1054,":",""))=2,"","0:")&amp;C1054)*86400,"")/VALUE(SUBSTITUTE(B1054,"K","")),0)/60)&amp;":"&amp;TEXT(MOD(ROUND(IFERROR(TIMEVALUE(IF(LEN(C1054)-LEN(SUBSTITUTE(C1054,":",""))=2,"","0:")&amp;C1054)*86400,"")/VALUE(SUBSTITUTE(B1054,"K","")),0),60),"00"),""))</f>
        <v/>
      </c>
      <c r="G1054" s="21">
        <f>IF(A1054="","",IF(COUNTIF(Atletas!$A$2:$A$302,A1054)&gt;0,"Sí","No"))</f>
        <v/>
      </c>
    </row>
    <row r="1055">
      <c r="A1055" s="17" t="n"/>
      <c r="B1055" s="17" t="n"/>
      <c r="C1055" s="18" t="n"/>
      <c r="D1055" s="19" t="n"/>
      <c r="E1055" s="17" t="n"/>
      <c r="F1055" s="21">
        <f>IF(OR(B1055="",C1055=""),"",IFERROR(INT(ROUND(IFERROR(TIMEVALUE(IF(LEN(C1055)-LEN(SUBSTITUTE(C1055,":",""))=2,"","0:")&amp;C1055)*86400,"")/VALUE(SUBSTITUTE(B1055,"K","")),0)/60)&amp;":"&amp;TEXT(MOD(ROUND(IFERROR(TIMEVALUE(IF(LEN(C1055)-LEN(SUBSTITUTE(C1055,":",""))=2,"","0:")&amp;C1055)*86400,"")/VALUE(SUBSTITUTE(B1055,"K","")),0),60),"00"),""))</f>
        <v/>
      </c>
      <c r="G1055" s="21">
        <f>IF(A1055="","",IF(COUNTIF(Atletas!$A$2:$A$302,A1055)&gt;0,"Sí","No"))</f>
        <v/>
      </c>
    </row>
    <row r="1056">
      <c r="A1056" s="17" t="n"/>
      <c r="B1056" s="17" t="n"/>
      <c r="C1056" s="18" t="n"/>
      <c r="D1056" s="19" t="n"/>
      <c r="E1056" s="17" t="n"/>
      <c r="F1056" s="21">
        <f>IF(OR(B1056="",C1056=""),"",IFERROR(INT(ROUND(IFERROR(TIMEVALUE(IF(LEN(C1056)-LEN(SUBSTITUTE(C1056,":",""))=2,"","0:")&amp;C1056)*86400,"")/VALUE(SUBSTITUTE(B1056,"K","")),0)/60)&amp;":"&amp;TEXT(MOD(ROUND(IFERROR(TIMEVALUE(IF(LEN(C1056)-LEN(SUBSTITUTE(C1056,":",""))=2,"","0:")&amp;C1056)*86400,"")/VALUE(SUBSTITUTE(B1056,"K","")),0),60),"00"),""))</f>
        <v/>
      </c>
      <c r="G1056" s="21">
        <f>IF(A1056="","",IF(COUNTIF(Atletas!$A$2:$A$302,A1056)&gt;0,"Sí","No"))</f>
        <v/>
      </c>
    </row>
    <row r="1057">
      <c r="A1057" s="17" t="n"/>
      <c r="B1057" s="17" t="n"/>
      <c r="C1057" s="18" t="n"/>
      <c r="D1057" s="19" t="n"/>
      <c r="E1057" s="17" t="n"/>
      <c r="F1057" s="21">
        <f>IF(OR(B1057="",C1057=""),"",IFERROR(INT(ROUND(IFERROR(TIMEVALUE(IF(LEN(C1057)-LEN(SUBSTITUTE(C1057,":",""))=2,"","0:")&amp;C1057)*86400,"")/VALUE(SUBSTITUTE(B1057,"K","")),0)/60)&amp;":"&amp;TEXT(MOD(ROUND(IFERROR(TIMEVALUE(IF(LEN(C1057)-LEN(SUBSTITUTE(C1057,":",""))=2,"","0:")&amp;C1057)*86400,"")/VALUE(SUBSTITUTE(B1057,"K","")),0),60),"00"),""))</f>
        <v/>
      </c>
      <c r="G1057" s="21">
        <f>IF(A1057="","",IF(COUNTIF(Atletas!$A$2:$A$302,A1057)&gt;0,"Sí","No"))</f>
        <v/>
      </c>
    </row>
    <row r="1058">
      <c r="A1058" s="17" t="n"/>
      <c r="B1058" s="17" t="n"/>
      <c r="C1058" s="18" t="n"/>
      <c r="D1058" s="19" t="n"/>
      <c r="E1058" s="17" t="n"/>
      <c r="F1058" s="21">
        <f>IF(OR(B1058="",C1058=""),"",IFERROR(INT(ROUND(IFERROR(TIMEVALUE(IF(LEN(C1058)-LEN(SUBSTITUTE(C1058,":",""))=2,"","0:")&amp;C1058)*86400,"")/VALUE(SUBSTITUTE(B1058,"K","")),0)/60)&amp;":"&amp;TEXT(MOD(ROUND(IFERROR(TIMEVALUE(IF(LEN(C1058)-LEN(SUBSTITUTE(C1058,":",""))=2,"","0:")&amp;C1058)*86400,"")/VALUE(SUBSTITUTE(B1058,"K","")),0),60),"00"),""))</f>
        <v/>
      </c>
      <c r="G1058" s="21">
        <f>IF(A1058="","",IF(COUNTIF(Atletas!$A$2:$A$302,A1058)&gt;0,"Sí","No"))</f>
        <v/>
      </c>
    </row>
    <row r="1059">
      <c r="A1059" s="17" t="n"/>
      <c r="B1059" s="17" t="n"/>
      <c r="C1059" s="18" t="n"/>
      <c r="D1059" s="19" t="n"/>
      <c r="E1059" s="17" t="n"/>
      <c r="F1059" s="21">
        <f>IF(OR(B1059="",C1059=""),"",IFERROR(INT(ROUND(IFERROR(TIMEVALUE(IF(LEN(C1059)-LEN(SUBSTITUTE(C1059,":",""))=2,"","0:")&amp;C1059)*86400,"")/VALUE(SUBSTITUTE(B1059,"K","")),0)/60)&amp;":"&amp;TEXT(MOD(ROUND(IFERROR(TIMEVALUE(IF(LEN(C1059)-LEN(SUBSTITUTE(C1059,":",""))=2,"","0:")&amp;C1059)*86400,"")/VALUE(SUBSTITUTE(B1059,"K","")),0),60),"00"),""))</f>
        <v/>
      </c>
      <c r="G1059" s="21">
        <f>IF(A1059="","",IF(COUNTIF(Atletas!$A$2:$A$302,A1059)&gt;0,"Sí","No"))</f>
        <v/>
      </c>
    </row>
    <row r="1060">
      <c r="A1060" s="17" t="n"/>
      <c r="B1060" s="17" t="n"/>
      <c r="C1060" s="18" t="n"/>
      <c r="D1060" s="19" t="n"/>
      <c r="E1060" s="17" t="n"/>
      <c r="F1060" s="21">
        <f>IF(OR(B1060="",C1060=""),"",IFERROR(INT(ROUND(IFERROR(TIMEVALUE(IF(LEN(C1060)-LEN(SUBSTITUTE(C1060,":",""))=2,"","0:")&amp;C1060)*86400,"")/VALUE(SUBSTITUTE(B1060,"K","")),0)/60)&amp;":"&amp;TEXT(MOD(ROUND(IFERROR(TIMEVALUE(IF(LEN(C1060)-LEN(SUBSTITUTE(C1060,":",""))=2,"","0:")&amp;C1060)*86400,"")/VALUE(SUBSTITUTE(B1060,"K","")),0),60),"00"),""))</f>
        <v/>
      </c>
      <c r="G1060" s="21">
        <f>IF(A1060="","",IF(COUNTIF(Atletas!$A$2:$A$302,A1060)&gt;0,"Sí","No"))</f>
        <v/>
      </c>
    </row>
    <row r="1061">
      <c r="A1061" s="17" t="n"/>
      <c r="B1061" s="17" t="n"/>
      <c r="C1061" s="18" t="n"/>
      <c r="D1061" s="19" t="n"/>
      <c r="E1061" s="17" t="n"/>
      <c r="F1061" s="21">
        <f>IF(OR(B1061="",C1061=""),"",IFERROR(INT(ROUND(IFERROR(TIMEVALUE(IF(LEN(C1061)-LEN(SUBSTITUTE(C1061,":",""))=2,"","0:")&amp;C1061)*86400,"")/VALUE(SUBSTITUTE(B1061,"K","")),0)/60)&amp;":"&amp;TEXT(MOD(ROUND(IFERROR(TIMEVALUE(IF(LEN(C1061)-LEN(SUBSTITUTE(C1061,":",""))=2,"","0:")&amp;C1061)*86400,"")/VALUE(SUBSTITUTE(B1061,"K","")),0),60),"00"),""))</f>
        <v/>
      </c>
      <c r="G1061" s="21">
        <f>IF(A1061="","",IF(COUNTIF(Atletas!$A$2:$A$302,A1061)&gt;0,"Sí","No"))</f>
        <v/>
      </c>
    </row>
    <row r="1062">
      <c r="A1062" s="17" t="n"/>
      <c r="B1062" s="17" t="n"/>
      <c r="C1062" s="18" t="n"/>
      <c r="D1062" s="19" t="n"/>
      <c r="E1062" s="17" t="n"/>
      <c r="F1062" s="21">
        <f>IF(OR(B1062="",C1062=""),"",IFERROR(INT(ROUND(IFERROR(TIMEVALUE(IF(LEN(C1062)-LEN(SUBSTITUTE(C1062,":",""))=2,"","0:")&amp;C1062)*86400,"")/VALUE(SUBSTITUTE(B1062,"K","")),0)/60)&amp;":"&amp;TEXT(MOD(ROUND(IFERROR(TIMEVALUE(IF(LEN(C1062)-LEN(SUBSTITUTE(C1062,":",""))=2,"","0:")&amp;C1062)*86400,"")/VALUE(SUBSTITUTE(B1062,"K","")),0),60),"00"),""))</f>
        <v/>
      </c>
      <c r="G1062" s="21">
        <f>IF(A1062="","",IF(COUNTIF(Atletas!$A$2:$A$302,A1062)&gt;0,"Sí","No"))</f>
        <v/>
      </c>
    </row>
    <row r="1063">
      <c r="A1063" s="17" t="n"/>
      <c r="B1063" s="17" t="n"/>
      <c r="C1063" s="18" t="n"/>
      <c r="D1063" s="19" t="n"/>
      <c r="E1063" s="17" t="n"/>
      <c r="F1063" s="21">
        <f>IF(OR(B1063="",C1063=""),"",IFERROR(INT(ROUND(IFERROR(TIMEVALUE(IF(LEN(C1063)-LEN(SUBSTITUTE(C1063,":",""))=2,"","0:")&amp;C1063)*86400,"")/VALUE(SUBSTITUTE(B1063,"K","")),0)/60)&amp;":"&amp;TEXT(MOD(ROUND(IFERROR(TIMEVALUE(IF(LEN(C1063)-LEN(SUBSTITUTE(C1063,":",""))=2,"","0:")&amp;C1063)*86400,"")/VALUE(SUBSTITUTE(B1063,"K","")),0),60),"00"),""))</f>
        <v/>
      </c>
      <c r="G1063" s="21">
        <f>IF(A1063="","",IF(COUNTIF(Atletas!$A$2:$A$302,A1063)&gt;0,"Sí","No"))</f>
        <v/>
      </c>
    </row>
    <row r="1064">
      <c r="A1064" s="17" t="n"/>
      <c r="B1064" s="17" t="n"/>
      <c r="C1064" s="18" t="n"/>
      <c r="D1064" s="19" t="n"/>
      <c r="E1064" s="17" t="n"/>
      <c r="F1064" s="21">
        <f>IF(OR(B1064="",C1064=""),"",IFERROR(INT(ROUND(IFERROR(TIMEVALUE(IF(LEN(C1064)-LEN(SUBSTITUTE(C1064,":",""))=2,"","0:")&amp;C1064)*86400,"")/VALUE(SUBSTITUTE(B1064,"K","")),0)/60)&amp;":"&amp;TEXT(MOD(ROUND(IFERROR(TIMEVALUE(IF(LEN(C1064)-LEN(SUBSTITUTE(C1064,":",""))=2,"","0:")&amp;C1064)*86400,"")/VALUE(SUBSTITUTE(B1064,"K","")),0),60),"00"),""))</f>
        <v/>
      </c>
      <c r="G1064" s="21">
        <f>IF(A1064="","",IF(COUNTIF(Atletas!$A$2:$A$302,A1064)&gt;0,"Sí","No"))</f>
        <v/>
      </c>
    </row>
    <row r="1065">
      <c r="A1065" s="17" t="n"/>
      <c r="B1065" s="17" t="n"/>
      <c r="C1065" s="18" t="n"/>
      <c r="D1065" s="19" t="n"/>
      <c r="E1065" s="17" t="n"/>
      <c r="F1065" s="21">
        <f>IF(OR(B1065="",C1065=""),"",IFERROR(INT(ROUND(IFERROR(TIMEVALUE(IF(LEN(C1065)-LEN(SUBSTITUTE(C1065,":",""))=2,"","0:")&amp;C1065)*86400,"")/VALUE(SUBSTITUTE(B1065,"K","")),0)/60)&amp;":"&amp;TEXT(MOD(ROUND(IFERROR(TIMEVALUE(IF(LEN(C1065)-LEN(SUBSTITUTE(C1065,":",""))=2,"","0:")&amp;C1065)*86400,"")/VALUE(SUBSTITUTE(B1065,"K","")),0),60),"00"),""))</f>
        <v/>
      </c>
      <c r="G1065" s="21">
        <f>IF(A1065="","",IF(COUNTIF(Atletas!$A$2:$A$302,A1065)&gt;0,"Sí","No"))</f>
        <v/>
      </c>
    </row>
    <row r="1066">
      <c r="A1066" s="17" t="n"/>
      <c r="B1066" s="17" t="n"/>
      <c r="C1066" s="18" t="n"/>
      <c r="D1066" s="19" t="n"/>
      <c r="E1066" s="17" t="n"/>
      <c r="F1066" s="21">
        <f>IF(OR(B1066="",C1066=""),"",IFERROR(INT(ROUND(IFERROR(TIMEVALUE(IF(LEN(C1066)-LEN(SUBSTITUTE(C1066,":",""))=2,"","0:")&amp;C1066)*86400,"")/VALUE(SUBSTITUTE(B1066,"K","")),0)/60)&amp;":"&amp;TEXT(MOD(ROUND(IFERROR(TIMEVALUE(IF(LEN(C1066)-LEN(SUBSTITUTE(C1066,":",""))=2,"","0:")&amp;C1066)*86400,"")/VALUE(SUBSTITUTE(B1066,"K","")),0),60),"00"),""))</f>
        <v/>
      </c>
      <c r="G1066" s="21">
        <f>IF(A1066="","",IF(COUNTIF(Atletas!$A$2:$A$302,A1066)&gt;0,"Sí","No"))</f>
        <v/>
      </c>
    </row>
    <row r="1067">
      <c r="A1067" s="17" t="n"/>
      <c r="B1067" s="17" t="n"/>
      <c r="C1067" s="18" t="n"/>
      <c r="D1067" s="19" t="n"/>
      <c r="E1067" s="17" t="n"/>
      <c r="F1067" s="21">
        <f>IF(OR(B1067="",C1067=""),"",IFERROR(INT(ROUND(IFERROR(TIMEVALUE(IF(LEN(C1067)-LEN(SUBSTITUTE(C1067,":",""))=2,"","0:")&amp;C1067)*86400,"")/VALUE(SUBSTITUTE(B1067,"K","")),0)/60)&amp;":"&amp;TEXT(MOD(ROUND(IFERROR(TIMEVALUE(IF(LEN(C1067)-LEN(SUBSTITUTE(C1067,":",""))=2,"","0:")&amp;C1067)*86400,"")/VALUE(SUBSTITUTE(B1067,"K","")),0),60),"00"),""))</f>
        <v/>
      </c>
      <c r="G1067" s="21">
        <f>IF(A1067="","",IF(COUNTIF(Atletas!$A$2:$A$302,A1067)&gt;0,"Sí","No"))</f>
        <v/>
      </c>
    </row>
    <row r="1068">
      <c r="A1068" s="17" t="n"/>
      <c r="B1068" s="17" t="n"/>
      <c r="C1068" s="18" t="n"/>
      <c r="D1068" s="19" t="n"/>
      <c r="E1068" s="17" t="n"/>
      <c r="F1068" s="21">
        <f>IF(OR(B1068="",C1068=""),"",IFERROR(INT(ROUND(IFERROR(TIMEVALUE(IF(LEN(C1068)-LEN(SUBSTITUTE(C1068,":",""))=2,"","0:")&amp;C1068)*86400,"")/VALUE(SUBSTITUTE(B1068,"K","")),0)/60)&amp;":"&amp;TEXT(MOD(ROUND(IFERROR(TIMEVALUE(IF(LEN(C1068)-LEN(SUBSTITUTE(C1068,":",""))=2,"","0:")&amp;C1068)*86400,"")/VALUE(SUBSTITUTE(B1068,"K","")),0),60),"00"),""))</f>
        <v/>
      </c>
      <c r="G1068" s="21">
        <f>IF(A1068="","",IF(COUNTIF(Atletas!$A$2:$A$302,A1068)&gt;0,"Sí","No"))</f>
        <v/>
      </c>
    </row>
    <row r="1069">
      <c r="A1069" s="17" t="n"/>
      <c r="B1069" s="17" t="n"/>
      <c r="C1069" s="18" t="n"/>
      <c r="D1069" s="19" t="n"/>
      <c r="E1069" s="17" t="n"/>
      <c r="F1069" s="21">
        <f>IF(OR(B1069="",C1069=""),"",IFERROR(INT(ROUND(IFERROR(TIMEVALUE(IF(LEN(C1069)-LEN(SUBSTITUTE(C1069,":",""))=2,"","0:")&amp;C1069)*86400,"")/VALUE(SUBSTITUTE(B1069,"K","")),0)/60)&amp;":"&amp;TEXT(MOD(ROUND(IFERROR(TIMEVALUE(IF(LEN(C1069)-LEN(SUBSTITUTE(C1069,":",""))=2,"","0:")&amp;C1069)*86400,"")/VALUE(SUBSTITUTE(B1069,"K","")),0),60),"00"),""))</f>
        <v/>
      </c>
      <c r="G1069" s="21">
        <f>IF(A1069="","",IF(COUNTIF(Atletas!$A$2:$A$302,A1069)&gt;0,"Sí","No"))</f>
        <v/>
      </c>
    </row>
    <row r="1070">
      <c r="A1070" s="17" t="n"/>
      <c r="B1070" s="17" t="n"/>
      <c r="C1070" s="18" t="n"/>
      <c r="D1070" s="19" t="n"/>
      <c r="E1070" s="17" t="n"/>
      <c r="F1070" s="21">
        <f>IF(OR(B1070="",C1070=""),"",IFERROR(INT(ROUND(IFERROR(TIMEVALUE(IF(LEN(C1070)-LEN(SUBSTITUTE(C1070,":",""))=2,"","0:")&amp;C1070)*86400,"")/VALUE(SUBSTITUTE(B1070,"K","")),0)/60)&amp;":"&amp;TEXT(MOD(ROUND(IFERROR(TIMEVALUE(IF(LEN(C1070)-LEN(SUBSTITUTE(C1070,":",""))=2,"","0:")&amp;C1070)*86400,"")/VALUE(SUBSTITUTE(B1070,"K","")),0),60),"00"),""))</f>
        <v/>
      </c>
      <c r="G1070" s="21">
        <f>IF(A1070="","",IF(COUNTIF(Atletas!$A$2:$A$302,A1070)&gt;0,"Sí","No"))</f>
        <v/>
      </c>
    </row>
    <row r="1071">
      <c r="A1071" s="17" t="n"/>
      <c r="B1071" s="17" t="n"/>
      <c r="C1071" s="18" t="n"/>
      <c r="D1071" s="19" t="n"/>
      <c r="E1071" s="17" t="n"/>
      <c r="F1071" s="21">
        <f>IF(OR(B1071="",C1071=""),"",IFERROR(INT(ROUND(IFERROR(TIMEVALUE(IF(LEN(C1071)-LEN(SUBSTITUTE(C1071,":",""))=2,"","0:")&amp;C1071)*86400,"")/VALUE(SUBSTITUTE(B1071,"K","")),0)/60)&amp;":"&amp;TEXT(MOD(ROUND(IFERROR(TIMEVALUE(IF(LEN(C1071)-LEN(SUBSTITUTE(C1071,":",""))=2,"","0:")&amp;C1071)*86400,"")/VALUE(SUBSTITUTE(B1071,"K","")),0),60),"00"),""))</f>
        <v/>
      </c>
      <c r="G1071" s="21">
        <f>IF(A1071="","",IF(COUNTIF(Atletas!$A$2:$A$302,A1071)&gt;0,"Sí","No"))</f>
        <v/>
      </c>
    </row>
    <row r="1072">
      <c r="A1072" s="17" t="n"/>
      <c r="B1072" s="17" t="n"/>
      <c r="C1072" s="18" t="n"/>
      <c r="D1072" s="19" t="n"/>
      <c r="E1072" s="17" t="n"/>
      <c r="F1072" s="21">
        <f>IF(OR(B1072="",C1072=""),"",IFERROR(INT(ROUND(IFERROR(TIMEVALUE(IF(LEN(C1072)-LEN(SUBSTITUTE(C1072,":",""))=2,"","0:")&amp;C1072)*86400,"")/VALUE(SUBSTITUTE(B1072,"K","")),0)/60)&amp;":"&amp;TEXT(MOD(ROUND(IFERROR(TIMEVALUE(IF(LEN(C1072)-LEN(SUBSTITUTE(C1072,":",""))=2,"","0:")&amp;C1072)*86400,"")/VALUE(SUBSTITUTE(B1072,"K","")),0),60),"00"),""))</f>
        <v/>
      </c>
      <c r="G1072" s="21">
        <f>IF(A1072="","",IF(COUNTIF(Atletas!$A$2:$A$302,A1072)&gt;0,"Sí","No"))</f>
        <v/>
      </c>
    </row>
    <row r="1073">
      <c r="A1073" s="17" t="n"/>
      <c r="B1073" s="17" t="n"/>
      <c r="C1073" s="18" t="n"/>
      <c r="D1073" s="19" t="n"/>
      <c r="E1073" s="17" t="n"/>
      <c r="F1073" s="21">
        <f>IF(OR(B1073="",C1073=""),"",IFERROR(INT(ROUND(IFERROR(TIMEVALUE(IF(LEN(C1073)-LEN(SUBSTITUTE(C1073,":",""))=2,"","0:")&amp;C1073)*86400,"")/VALUE(SUBSTITUTE(B1073,"K","")),0)/60)&amp;":"&amp;TEXT(MOD(ROUND(IFERROR(TIMEVALUE(IF(LEN(C1073)-LEN(SUBSTITUTE(C1073,":",""))=2,"","0:")&amp;C1073)*86400,"")/VALUE(SUBSTITUTE(B1073,"K","")),0),60),"00"),""))</f>
        <v/>
      </c>
      <c r="G1073" s="21">
        <f>IF(A1073="","",IF(COUNTIF(Atletas!$A$2:$A$302,A1073)&gt;0,"Sí","No"))</f>
        <v/>
      </c>
    </row>
    <row r="1074">
      <c r="A1074" s="17" t="n"/>
      <c r="B1074" s="17" t="n"/>
      <c r="C1074" s="18" t="n"/>
      <c r="D1074" s="19" t="n"/>
      <c r="E1074" s="17" t="n"/>
      <c r="F1074" s="21">
        <f>IF(OR(B1074="",C1074=""),"",IFERROR(INT(ROUND(IFERROR(TIMEVALUE(IF(LEN(C1074)-LEN(SUBSTITUTE(C1074,":",""))=2,"","0:")&amp;C1074)*86400,"")/VALUE(SUBSTITUTE(B1074,"K","")),0)/60)&amp;":"&amp;TEXT(MOD(ROUND(IFERROR(TIMEVALUE(IF(LEN(C1074)-LEN(SUBSTITUTE(C1074,":",""))=2,"","0:")&amp;C1074)*86400,"")/VALUE(SUBSTITUTE(B1074,"K","")),0),60),"00"),""))</f>
        <v/>
      </c>
      <c r="G1074" s="21">
        <f>IF(A1074="","",IF(COUNTIF(Atletas!$A$2:$A$302,A1074)&gt;0,"Sí","No"))</f>
        <v/>
      </c>
    </row>
    <row r="1075">
      <c r="A1075" s="17" t="n"/>
      <c r="B1075" s="17" t="n"/>
      <c r="C1075" s="18" t="n"/>
      <c r="D1075" s="19" t="n"/>
      <c r="E1075" s="17" t="n"/>
      <c r="F1075" s="21">
        <f>IF(OR(B1075="",C1075=""),"",IFERROR(INT(ROUND(IFERROR(TIMEVALUE(IF(LEN(C1075)-LEN(SUBSTITUTE(C1075,":",""))=2,"","0:")&amp;C1075)*86400,"")/VALUE(SUBSTITUTE(B1075,"K","")),0)/60)&amp;":"&amp;TEXT(MOD(ROUND(IFERROR(TIMEVALUE(IF(LEN(C1075)-LEN(SUBSTITUTE(C1075,":",""))=2,"","0:")&amp;C1075)*86400,"")/VALUE(SUBSTITUTE(B1075,"K","")),0),60),"00"),""))</f>
        <v/>
      </c>
      <c r="G1075" s="21">
        <f>IF(A1075="","",IF(COUNTIF(Atletas!$A$2:$A$302,A1075)&gt;0,"Sí","No"))</f>
        <v/>
      </c>
    </row>
    <row r="1076">
      <c r="A1076" s="17" t="n"/>
      <c r="B1076" s="17" t="n"/>
      <c r="C1076" s="18" t="n"/>
      <c r="D1076" s="19" t="n"/>
      <c r="E1076" s="17" t="n"/>
      <c r="F1076" s="21">
        <f>IF(OR(B1076="",C1076=""),"",IFERROR(INT(ROUND(IFERROR(TIMEVALUE(IF(LEN(C1076)-LEN(SUBSTITUTE(C1076,":",""))=2,"","0:")&amp;C1076)*86400,"")/VALUE(SUBSTITUTE(B1076,"K","")),0)/60)&amp;":"&amp;TEXT(MOD(ROUND(IFERROR(TIMEVALUE(IF(LEN(C1076)-LEN(SUBSTITUTE(C1076,":",""))=2,"","0:")&amp;C1076)*86400,"")/VALUE(SUBSTITUTE(B1076,"K","")),0),60),"00"),""))</f>
        <v/>
      </c>
      <c r="G1076" s="21">
        <f>IF(A1076="","",IF(COUNTIF(Atletas!$A$2:$A$302,A1076)&gt;0,"Sí","No"))</f>
        <v/>
      </c>
    </row>
    <row r="1077">
      <c r="A1077" s="17" t="n"/>
      <c r="B1077" s="17" t="n"/>
      <c r="C1077" s="18" t="n"/>
      <c r="D1077" s="19" t="n"/>
      <c r="E1077" s="17" t="n"/>
      <c r="F1077" s="21">
        <f>IF(OR(B1077="",C1077=""),"",IFERROR(INT(ROUND(IFERROR(TIMEVALUE(IF(LEN(C1077)-LEN(SUBSTITUTE(C1077,":",""))=2,"","0:")&amp;C1077)*86400,"")/VALUE(SUBSTITUTE(B1077,"K","")),0)/60)&amp;":"&amp;TEXT(MOD(ROUND(IFERROR(TIMEVALUE(IF(LEN(C1077)-LEN(SUBSTITUTE(C1077,":",""))=2,"","0:")&amp;C1077)*86400,"")/VALUE(SUBSTITUTE(B1077,"K","")),0),60),"00"),""))</f>
        <v/>
      </c>
      <c r="G1077" s="21">
        <f>IF(A1077="","",IF(COUNTIF(Atletas!$A$2:$A$302,A1077)&gt;0,"Sí","No"))</f>
        <v/>
      </c>
    </row>
    <row r="1078">
      <c r="A1078" s="17" t="n"/>
      <c r="B1078" s="17" t="n"/>
      <c r="C1078" s="18" t="n"/>
      <c r="D1078" s="19" t="n"/>
      <c r="E1078" s="17" t="n"/>
      <c r="F1078" s="21">
        <f>IF(OR(B1078="",C1078=""),"",IFERROR(INT(ROUND(IFERROR(TIMEVALUE(IF(LEN(C1078)-LEN(SUBSTITUTE(C1078,":",""))=2,"","0:")&amp;C1078)*86400,"")/VALUE(SUBSTITUTE(B1078,"K","")),0)/60)&amp;":"&amp;TEXT(MOD(ROUND(IFERROR(TIMEVALUE(IF(LEN(C1078)-LEN(SUBSTITUTE(C1078,":",""))=2,"","0:")&amp;C1078)*86400,"")/VALUE(SUBSTITUTE(B1078,"K","")),0),60),"00"),""))</f>
        <v/>
      </c>
      <c r="G1078" s="21">
        <f>IF(A1078="","",IF(COUNTIF(Atletas!$A$2:$A$302,A1078)&gt;0,"Sí","No"))</f>
        <v/>
      </c>
    </row>
    <row r="1079">
      <c r="A1079" s="17" t="n"/>
      <c r="B1079" s="17" t="n"/>
      <c r="C1079" s="18" t="n"/>
      <c r="D1079" s="19" t="n"/>
      <c r="E1079" s="17" t="n"/>
      <c r="F1079" s="21">
        <f>IF(OR(B1079="",C1079=""),"",IFERROR(INT(ROUND(IFERROR(TIMEVALUE(IF(LEN(C1079)-LEN(SUBSTITUTE(C1079,":",""))=2,"","0:")&amp;C1079)*86400,"")/VALUE(SUBSTITUTE(B1079,"K","")),0)/60)&amp;":"&amp;TEXT(MOD(ROUND(IFERROR(TIMEVALUE(IF(LEN(C1079)-LEN(SUBSTITUTE(C1079,":",""))=2,"","0:")&amp;C1079)*86400,"")/VALUE(SUBSTITUTE(B1079,"K","")),0),60),"00"),""))</f>
        <v/>
      </c>
      <c r="G1079" s="21">
        <f>IF(A1079="","",IF(COUNTIF(Atletas!$A$2:$A$302,A1079)&gt;0,"Sí","No"))</f>
        <v/>
      </c>
    </row>
    <row r="1080">
      <c r="A1080" s="17" t="n"/>
      <c r="B1080" s="17" t="n"/>
      <c r="C1080" s="18" t="n"/>
      <c r="D1080" s="19" t="n"/>
      <c r="E1080" s="17" t="n"/>
      <c r="F1080" s="21">
        <f>IF(OR(B1080="",C1080=""),"",IFERROR(INT(ROUND(IFERROR(TIMEVALUE(IF(LEN(C1080)-LEN(SUBSTITUTE(C1080,":",""))=2,"","0:")&amp;C1080)*86400,"")/VALUE(SUBSTITUTE(B1080,"K","")),0)/60)&amp;":"&amp;TEXT(MOD(ROUND(IFERROR(TIMEVALUE(IF(LEN(C1080)-LEN(SUBSTITUTE(C1080,":",""))=2,"","0:")&amp;C1080)*86400,"")/VALUE(SUBSTITUTE(B1080,"K","")),0),60),"00"),""))</f>
        <v/>
      </c>
      <c r="G1080" s="21">
        <f>IF(A1080="","",IF(COUNTIF(Atletas!$A$2:$A$302,A1080)&gt;0,"Sí","No"))</f>
        <v/>
      </c>
    </row>
    <row r="1081">
      <c r="A1081" s="17" t="n"/>
      <c r="B1081" s="17" t="n"/>
      <c r="C1081" s="18" t="n"/>
      <c r="D1081" s="19" t="n"/>
      <c r="E1081" s="17" t="n"/>
      <c r="F1081" s="21">
        <f>IF(OR(B1081="",C1081=""),"",IFERROR(INT(ROUND(IFERROR(TIMEVALUE(IF(LEN(C1081)-LEN(SUBSTITUTE(C1081,":",""))=2,"","0:")&amp;C1081)*86400,"")/VALUE(SUBSTITUTE(B1081,"K","")),0)/60)&amp;":"&amp;TEXT(MOD(ROUND(IFERROR(TIMEVALUE(IF(LEN(C1081)-LEN(SUBSTITUTE(C1081,":",""))=2,"","0:")&amp;C1081)*86400,"")/VALUE(SUBSTITUTE(B1081,"K","")),0),60),"00"),""))</f>
        <v/>
      </c>
      <c r="G1081" s="21">
        <f>IF(A1081="","",IF(COUNTIF(Atletas!$A$2:$A$302,A1081)&gt;0,"Sí","No"))</f>
        <v/>
      </c>
    </row>
    <row r="1082">
      <c r="A1082" s="17" t="n"/>
      <c r="B1082" s="17" t="n"/>
      <c r="C1082" s="18" t="n"/>
      <c r="D1082" s="19" t="n"/>
      <c r="E1082" s="17" t="n"/>
      <c r="F1082" s="21">
        <f>IF(OR(B1082="",C1082=""),"",IFERROR(INT(ROUND(IFERROR(TIMEVALUE(IF(LEN(C1082)-LEN(SUBSTITUTE(C1082,":",""))=2,"","0:")&amp;C1082)*86400,"")/VALUE(SUBSTITUTE(B1082,"K","")),0)/60)&amp;":"&amp;TEXT(MOD(ROUND(IFERROR(TIMEVALUE(IF(LEN(C1082)-LEN(SUBSTITUTE(C1082,":",""))=2,"","0:")&amp;C1082)*86400,"")/VALUE(SUBSTITUTE(B1082,"K","")),0),60),"00"),""))</f>
        <v/>
      </c>
      <c r="G1082" s="21">
        <f>IF(A1082="","",IF(COUNTIF(Atletas!$A$2:$A$302,A1082)&gt;0,"Sí","No"))</f>
        <v/>
      </c>
    </row>
    <row r="1083">
      <c r="A1083" s="17" t="n"/>
      <c r="B1083" s="17" t="n"/>
      <c r="C1083" s="18" t="n"/>
      <c r="D1083" s="19" t="n"/>
      <c r="E1083" s="17" t="n"/>
      <c r="F1083" s="21">
        <f>IF(OR(B1083="",C1083=""),"",IFERROR(INT(ROUND(IFERROR(TIMEVALUE(IF(LEN(C1083)-LEN(SUBSTITUTE(C1083,":",""))=2,"","0:")&amp;C1083)*86400,"")/VALUE(SUBSTITUTE(B1083,"K","")),0)/60)&amp;":"&amp;TEXT(MOD(ROUND(IFERROR(TIMEVALUE(IF(LEN(C1083)-LEN(SUBSTITUTE(C1083,":",""))=2,"","0:")&amp;C1083)*86400,"")/VALUE(SUBSTITUTE(B1083,"K","")),0),60),"00"),""))</f>
        <v/>
      </c>
      <c r="G1083" s="21">
        <f>IF(A1083="","",IF(COUNTIF(Atletas!$A$2:$A$302,A1083)&gt;0,"Sí","No"))</f>
        <v/>
      </c>
    </row>
    <row r="1084">
      <c r="A1084" s="17" t="n"/>
      <c r="B1084" s="17" t="n"/>
      <c r="C1084" s="18" t="n"/>
      <c r="D1084" s="19" t="n"/>
      <c r="E1084" s="17" t="n"/>
      <c r="F1084" s="21">
        <f>IF(OR(B1084="",C1084=""),"",IFERROR(INT(ROUND(IFERROR(TIMEVALUE(IF(LEN(C1084)-LEN(SUBSTITUTE(C1084,":",""))=2,"","0:")&amp;C1084)*86400,"")/VALUE(SUBSTITUTE(B1084,"K","")),0)/60)&amp;":"&amp;TEXT(MOD(ROUND(IFERROR(TIMEVALUE(IF(LEN(C1084)-LEN(SUBSTITUTE(C1084,":",""))=2,"","0:")&amp;C1084)*86400,"")/VALUE(SUBSTITUTE(B1084,"K","")),0),60),"00"),""))</f>
        <v/>
      </c>
      <c r="G1084" s="21">
        <f>IF(A1084="","",IF(COUNTIF(Atletas!$A$2:$A$302,A1084)&gt;0,"Sí","No"))</f>
        <v/>
      </c>
    </row>
    <row r="1085">
      <c r="A1085" s="17" t="n"/>
      <c r="B1085" s="17" t="n"/>
      <c r="C1085" s="18" t="n"/>
      <c r="D1085" s="19" t="n"/>
      <c r="E1085" s="17" t="n"/>
      <c r="F1085" s="21">
        <f>IF(OR(B1085="",C1085=""),"",IFERROR(INT(ROUND(IFERROR(TIMEVALUE(IF(LEN(C1085)-LEN(SUBSTITUTE(C1085,":",""))=2,"","0:")&amp;C1085)*86400,"")/VALUE(SUBSTITUTE(B1085,"K","")),0)/60)&amp;":"&amp;TEXT(MOD(ROUND(IFERROR(TIMEVALUE(IF(LEN(C1085)-LEN(SUBSTITUTE(C1085,":",""))=2,"","0:")&amp;C1085)*86400,"")/VALUE(SUBSTITUTE(B1085,"K","")),0),60),"00"),""))</f>
        <v/>
      </c>
      <c r="G1085" s="21">
        <f>IF(A1085="","",IF(COUNTIF(Atletas!$A$2:$A$302,A1085)&gt;0,"Sí","No"))</f>
        <v/>
      </c>
    </row>
    <row r="1086">
      <c r="A1086" s="17" t="n"/>
      <c r="B1086" s="17" t="n"/>
      <c r="C1086" s="18" t="n"/>
      <c r="D1086" s="19" t="n"/>
      <c r="E1086" s="17" t="n"/>
      <c r="F1086" s="21">
        <f>IF(OR(B1086="",C1086=""),"",IFERROR(INT(ROUND(IFERROR(TIMEVALUE(IF(LEN(C1086)-LEN(SUBSTITUTE(C1086,":",""))=2,"","0:")&amp;C1086)*86400,"")/VALUE(SUBSTITUTE(B1086,"K","")),0)/60)&amp;":"&amp;TEXT(MOD(ROUND(IFERROR(TIMEVALUE(IF(LEN(C1086)-LEN(SUBSTITUTE(C1086,":",""))=2,"","0:")&amp;C1086)*86400,"")/VALUE(SUBSTITUTE(B1086,"K","")),0),60),"00"),""))</f>
        <v/>
      </c>
      <c r="G1086" s="21">
        <f>IF(A1086="","",IF(COUNTIF(Atletas!$A$2:$A$302,A1086)&gt;0,"Sí","No"))</f>
        <v/>
      </c>
    </row>
    <row r="1087">
      <c r="A1087" s="17" t="n"/>
      <c r="B1087" s="17" t="n"/>
      <c r="C1087" s="18" t="n"/>
      <c r="D1087" s="19" t="n"/>
      <c r="E1087" s="17" t="n"/>
      <c r="F1087" s="21">
        <f>IF(OR(B1087="",C1087=""),"",IFERROR(INT(ROUND(IFERROR(TIMEVALUE(IF(LEN(C1087)-LEN(SUBSTITUTE(C1087,":",""))=2,"","0:")&amp;C1087)*86400,"")/VALUE(SUBSTITUTE(B1087,"K","")),0)/60)&amp;":"&amp;TEXT(MOD(ROUND(IFERROR(TIMEVALUE(IF(LEN(C1087)-LEN(SUBSTITUTE(C1087,":",""))=2,"","0:")&amp;C1087)*86400,"")/VALUE(SUBSTITUTE(B1087,"K","")),0),60),"00"),""))</f>
        <v/>
      </c>
      <c r="G1087" s="21">
        <f>IF(A1087="","",IF(COUNTIF(Atletas!$A$2:$A$302,A1087)&gt;0,"Sí","No"))</f>
        <v/>
      </c>
    </row>
    <row r="1088">
      <c r="A1088" s="17" t="n"/>
      <c r="B1088" s="17" t="n"/>
      <c r="C1088" s="18" t="n"/>
      <c r="D1088" s="19" t="n"/>
      <c r="E1088" s="17" t="n"/>
      <c r="F1088" s="21">
        <f>IF(OR(B1088="",C1088=""),"",IFERROR(INT(ROUND(IFERROR(TIMEVALUE(IF(LEN(C1088)-LEN(SUBSTITUTE(C1088,":",""))=2,"","0:")&amp;C1088)*86400,"")/VALUE(SUBSTITUTE(B1088,"K","")),0)/60)&amp;":"&amp;TEXT(MOD(ROUND(IFERROR(TIMEVALUE(IF(LEN(C1088)-LEN(SUBSTITUTE(C1088,":",""))=2,"","0:")&amp;C1088)*86400,"")/VALUE(SUBSTITUTE(B1088,"K","")),0),60),"00"),""))</f>
        <v/>
      </c>
      <c r="G1088" s="21">
        <f>IF(A1088="","",IF(COUNTIF(Atletas!$A$2:$A$302,A1088)&gt;0,"Sí","No"))</f>
        <v/>
      </c>
    </row>
    <row r="1089">
      <c r="A1089" s="17" t="n"/>
      <c r="B1089" s="17" t="n"/>
      <c r="C1089" s="18" t="n"/>
      <c r="D1089" s="19" t="n"/>
      <c r="E1089" s="17" t="n"/>
      <c r="F1089" s="21">
        <f>IF(OR(B1089="",C1089=""),"",IFERROR(INT(ROUND(IFERROR(TIMEVALUE(IF(LEN(C1089)-LEN(SUBSTITUTE(C1089,":",""))=2,"","0:")&amp;C1089)*86400,"")/VALUE(SUBSTITUTE(B1089,"K","")),0)/60)&amp;":"&amp;TEXT(MOD(ROUND(IFERROR(TIMEVALUE(IF(LEN(C1089)-LEN(SUBSTITUTE(C1089,":",""))=2,"","0:")&amp;C1089)*86400,"")/VALUE(SUBSTITUTE(B1089,"K","")),0),60),"00"),""))</f>
        <v/>
      </c>
      <c r="G1089" s="21">
        <f>IF(A1089="","",IF(COUNTIF(Atletas!$A$2:$A$302,A1089)&gt;0,"Sí","No"))</f>
        <v/>
      </c>
    </row>
    <row r="1090">
      <c r="A1090" s="17" t="n"/>
      <c r="B1090" s="17" t="n"/>
      <c r="C1090" s="18" t="n"/>
      <c r="D1090" s="19" t="n"/>
      <c r="E1090" s="17" t="n"/>
      <c r="F1090" s="21">
        <f>IF(OR(B1090="",C1090=""),"",IFERROR(INT(ROUND(IFERROR(TIMEVALUE(IF(LEN(C1090)-LEN(SUBSTITUTE(C1090,":",""))=2,"","0:")&amp;C1090)*86400,"")/VALUE(SUBSTITUTE(B1090,"K","")),0)/60)&amp;":"&amp;TEXT(MOD(ROUND(IFERROR(TIMEVALUE(IF(LEN(C1090)-LEN(SUBSTITUTE(C1090,":",""))=2,"","0:")&amp;C1090)*86400,"")/VALUE(SUBSTITUTE(B1090,"K","")),0),60),"00"),""))</f>
        <v/>
      </c>
      <c r="G1090" s="21">
        <f>IF(A1090="","",IF(COUNTIF(Atletas!$A$2:$A$302,A1090)&gt;0,"Sí","No"))</f>
        <v/>
      </c>
    </row>
    <row r="1091">
      <c r="A1091" s="17" t="n"/>
      <c r="B1091" s="17" t="n"/>
      <c r="C1091" s="18" t="n"/>
      <c r="D1091" s="19" t="n"/>
      <c r="E1091" s="17" t="n"/>
      <c r="F1091" s="21">
        <f>IF(OR(B1091="",C1091=""),"",IFERROR(INT(ROUND(IFERROR(TIMEVALUE(IF(LEN(C1091)-LEN(SUBSTITUTE(C1091,":",""))=2,"","0:")&amp;C1091)*86400,"")/VALUE(SUBSTITUTE(B1091,"K","")),0)/60)&amp;":"&amp;TEXT(MOD(ROUND(IFERROR(TIMEVALUE(IF(LEN(C1091)-LEN(SUBSTITUTE(C1091,":",""))=2,"","0:")&amp;C1091)*86400,"")/VALUE(SUBSTITUTE(B1091,"K","")),0),60),"00"),""))</f>
        <v/>
      </c>
      <c r="G1091" s="21">
        <f>IF(A1091="","",IF(COUNTIF(Atletas!$A$2:$A$302,A1091)&gt;0,"Sí","No"))</f>
        <v/>
      </c>
    </row>
    <row r="1092">
      <c r="A1092" s="17" t="n"/>
      <c r="B1092" s="17" t="n"/>
      <c r="C1092" s="18" t="n"/>
      <c r="D1092" s="19" t="n"/>
      <c r="E1092" s="17" t="n"/>
      <c r="F1092" s="21">
        <f>IF(OR(B1092="",C1092=""),"",IFERROR(INT(ROUND(IFERROR(TIMEVALUE(IF(LEN(C1092)-LEN(SUBSTITUTE(C1092,":",""))=2,"","0:")&amp;C1092)*86400,"")/VALUE(SUBSTITUTE(B1092,"K","")),0)/60)&amp;":"&amp;TEXT(MOD(ROUND(IFERROR(TIMEVALUE(IF(LEN(C1092)-LEN(SUBSTITUTE(C1092,":",""))=2,"","0:")&amp;C1092)*86400,"")/VALUE(SUBSTITUTE(B1092,"K","")),0),60),"00"),""))</f>
        <v/>
      </c>
      <c r="G1092" s="21">
        <f>IF(A1092="","",IF(COUNTIF(Atletas!$A$2:$A$302,A1092)&gt;0,"Sí","No"))</f>
        <v/>
      </c>
    </row>
    <row r="1093">
      <c r="A1093" s="17" t="n"/>
      <c r="B1093" s="17" t="n"/>
      <c r="C1093" s="18" t="n"/>
      <c r="D1093" s="19" t="n"/>
      <c r="E1093" s="17" t="n"/>
      <c r="F1093" s="21">
        <f>IF(OR(B1093="",C1093=""),"",IFERROR(INT(ROUND(IFERROR(TIMEVALUE(IF(LEN(C1093)-LEN(SUBSTITUTE(C1093,":",""))=2,"","0:")&amp;C1093)*86400,"")/VALUE(SUBSTITUTE(B1093,"K","")),0)/60)&amp;":"&amp;TEXT(MOD(ROUND(IFERROR(TIMEVALUE(IF(LEN(C1093)-LEN(SUBSTITUTE(C1093,":",""))=2,"","0:")&amp;C1093)*86400,"")/VALUE(SUBSTITUTE(B1093,"K","")),0),60),"00"),""))</f>
        <v/>
      </c>
      <c r="G1093" s="21">
        <f>IF(A1093="","",IF(COUNTIF(Atletas!$A$2:$A$302,A1093)&gt;0,"Sí","No"))</f>
        <v/>
      </c>
    </row>
    <row r="1094">
      <c r="A1094" s="17" t="n"/>
      <c r="B1094" s="17" t="n"/>
      <c r="C1094" s="18" t="n"/>
      <c r="D1094" s="19" t="n"/>
      <c r="E1094" s="17" t="n"/>
      <c r="F1094" s="21">
        <f>IF(OR(B1094="",C1094=""),"",IFERROR(INT(ROUND(IFERROR(TIMEVALUE(IF(LEN(C1094)-LEN(SUBSTITUTE(C1094,":",""))=2,"","0:")&amp;C1094)*86400,"")/VALUE(SUBSTITUTE(B1094,"K","")),0)/60)&amp;":"&amp;TEXT(MOD(ROUND(IFERROR(TIMEVALUE(IF(LEN(C1094)-LEN(SUBSTITUTE(C1094,":",""))=2,"","0:")&amp;C1094)*86400,"")/VALUE(SUBSTITUTE(B1094,"K","")),0),60),"00"),""))</f>
        <v/>
      </c>
      <c r="G1094" s="21">
        <f>IF(A1094="","",IF(COUNTIF(Atletas!$A$2:$A$302,A1094)&gt;0,"Sí","No"))</f>
        <v/>
      </c>
    </row>
    <row r="1095">
      <c r="A1095" s="17" t="n"/>
      <c r="B1095" s="17" t="n"/>
      <c r="C1095" s="18" t="n"/>
      <c r="D1095" s="19" t="n"/>
      <c r="E1095" s="17" t="n"/>
      <c r="F1095" s="21">
        <f>IF(OR(B1095="",C1095=""),"",IFERROR(INT(ROUND(IFERROR(TIMEVALUE(IF(LEN(C1095)-LEN(SUBSTITUTE(C1095,":",""))=2,"","0:")&amp;C1095)*86400,"")/VALUE(SUBSTITUTE(B1095,"K","")),0)/60)&amp;":"&amp;TEXT(MOD(ROUND(IFERROR(TIMEVALUE(IF(LEN(C1095)-LEN(SUBSTITUTE(C1095,":",""))=2,"","0:")&amp;C1095)*86400,"")/VALUE(SUBSTITUTE(B1095,"K","")),0),60),"00"),""))</f>
        <v/>
      </c>
      <c r="G1095" s="21">
        <f>IF(A1095="","",IF(COUNTIF(Atletas!$A$2:$A$302,A1095)&gt;0,"Sí","No"))</f>
        <v/>
      </c>
    </row>
    <row r="1096">
      <c r="A1096" s="17" t="n"/>
      <c r="B1096" s="17" t="n"/>
      <c r="C1096" s="18" t="n"/>
      <c r="D1096" s="19" t="n"/>
      <c r="E1096" s="17" t="n"/>
      <c r="F1096" s="21">
        <f>IF(OR(B1096="",C1096=""),"",IFERROR(INT(ROUND(IFERROR(TIMEVALUE(IF(LEN(C1096)-LEN(SUBSTITUTE(C1096,":",""))=2,"","0:")&amp;C1096)*86400,"")/VALUE(SUBSTITUTE(B1096,"K","")),0)/60)&amp;":"&amp;TEXT(MOD(ROUND(IFERROR(TIMEVALUE(IF(LEN(C1096)-LEN(SUBSTITUTE(C1096,":",""))=2,"","0:")&amp;C1096)*86400,"")/VALUE(SUBSTITUTE(B1096,"K","")),0),60),"00"),""))</f>
        <v/>
      </c>
      <c r="G1096" s="21">
        <f>IF(A1096="","",IF(COUNTIF(Atletas!$A$2:$A$302,A1096)&gt;0,"Sí","No"))</f>
        <v/>
      </c>
    </row>
    <row r="1097">
      <c r="A1097" s="17" t="n"/>
      <c r="B1097" s="17" t="n"/>
      <c r="C1097" s="18" t="n"/>
      <c r="D1097" s="19" t="n"/>
      <c r="E1097" s="17" t="n"/>
      <c r="F1097" s="21">
        <f>IF(OR(B1097="",C1097=""),"",IFERROR(INT(ROUND(IFERROR(TIMEVALUE(IF(LEN(C1097)-LEN(SUBSTITUTE(C1097,":",""))=2,"","0:")&amp;C1097)*86400,"")/VALUE(SUBSTITUTE(B1097,"K","")),0)/60)&amp;":"&amp;TEXT(MOD(ROUND(IFERROR(TIMEVALUE(IF(LEN(C1097)-LEN(SUBSTITUTE(C1097,":",""))=2,"","0:")&amp;C1097)*86400,"")/VALUE(SUBSTITUTE(B1097,"K","")),0),60),"00"),""))</f>
        <v/>
      </c>
      <c r="G1097" s="21">
        <f>IF(A1097="","",IF(COUNTIF(Atletas!$A$2:$A$302,A1097)&gt;0,"Sí","No"))</f>
        <v/>
      </c>
    </row>
    <row r="1098">
      <c r="A1098" s="17" t="n"/>
      <c r="B1098" s="17" t="n"/>
      <c r="C1098" s="18" t="n"/>
      <c r="D1098" s="19" t="n"/>
      <c r="E1098" s="17" t="n"/>
      <c r="F1098" s="21">
        <f>IF(OR(B1098="",C1098=""),"",IFERROR(INT(ROUND(IFERROR(TIMEVALUE(IF(LEN(C1098)-LEN(SUBSTITUTE(C1098,":",""))=2,"","0:")&amp;C1098)*86400,"")/VALUE(SUBSTITUTE(B1098,"K","")),0)/60)&amp;":"&amp;TEXT(MOD(ROUND(IFERROR(TIMEVALUE(IF(LEN(C1098)-LEN(SUBSTITUTE(C1098,":",""))=2,"","0:")&amp;C1098)*86400,"")/VALUE(SUBSTITUTE(B1098,"K","")),0),60),"00"),""))</f>
        <v/>
      </c>
      <c r="G1098" s="21">
        <f>IF(A1098="","",IF(COUNTIF(Atletas!$A$2:$A$302,A1098)&gt;0,"Sí","No"))</f>
        <v/>
      </c>
    </row>
    <row r="1099">
      <c r="A1099" s="17" t="n"/>
      <c r="B1099" s="17" t="n"/>
      <c r="C1099" s="18" t="n"/>
      <c r="D1099" s="19" t="n"/>
      <c r="E1099" s="17" t="n"/>
      <c r="F1099" s="21">
        <f>IF(OR(B1099="",C1099=""),"",IFERROR(INT(ROUND(IFERROR(TIMEVALUE(IF(LEN(C1099)-LEN(SUBSTITUTE(C1099,":",""))=2,"","0:")&amp;C1099)*86400,"")/VALUE(SUBSTITUTE(B1099,"K","")),0)/60)&amp;":"&amp;TEXT(MOD(ROUND(IFERROR(TIMEVALUE(IF(LEN(C1099)-LEN(SUBSTITUTE(C1099,":",""))=2,"","0:")&amp;C1099)*86400,"")/VALUE(SUBSTITUTE(B1099,"K","")),0),60),"00"),""))</f>
        <v/>
      </c>
      <c r="G1099" s="21">
        <f>IF(A1099="","",IF(COUNTIF(Atletas!$A$2:$A$302,A1099)&gt;0,"Sí","No"))</f>
        <v/>
      </c>
    </row>
    <row r="1100">
      <c r="A1100" s="17" t="n"/>
      <c r="B1100" s="17" t="n"/>
      <c r="C1100" s="18" t="n"/>
      <c r="D1100" s="19" t="n"/>
      <c r="E1100" s="17" t="n"/>
      <c r="F1100" s="21">
        <f>IF(OR(B1100="",C1100=""),"",IFERROR(INT(ROUND(IFERROR(TIMEVALUE(IF(LEN(C1100)-LEN(SUBSTITUTE(C1100,":",""))=2,"","0:")&amp;C1100)*86400,"")/VALUE(SUBSTITUTE(B1100,"K","")),0)/60)&amp;":"&amp;TEXT(MOD(ROUND(IFERROR(TIMEVALUE(IF(LEN(C1100)-LEN(SUBSTITUTE(C1100,":",""))=2,"","0:")&amp;C1100)*86400,"")/VALUE(SUBSTITUTE(B1100,"K","")),0),60),"00"),""))</f>
        <v/>
      </c>
      <c r="G1100" s="21">
        <f>IF(A1100="","",IF(COUNTIF(Atletas!$A$2:$A$302,A1100)&gt;0,"Sí","No"))</f>
        <v/>
      </c>
    </row>
    <row r="1101">
      <c r="A1101" s="17" t="n"/>
      <c r="B1101" s="17" t="n"/>
      <c r="C1101" s="18" t="n"/>
      <c r="D1101" s="19" t="n"/>
      <c r="E1101" s="17" t="n"/>
      <c r="F1101" s="21">
        <f>IF(OR(B1101="",C1101=""),"",IFERROR(INT(ROUND(IFERROR(TIMEVALUE(IF(LEN(C1101)-LEN(SUBSTITUTE(C1101,":",""))=2,"","0:")&amp;C1101)*86400,"")/VALUE(SUBSTITUTE(B1101,"K","")),0)/60)&amp;":"&amp;TEXT(MOD(ROUND(IFERROR(TIMEVALUE(IF(LEN(C1101)-LEN(SUBSTITUTE(C1101,":",""))=2,"","0:")&amp;C1101)*86400,"")/VALUE(SUBSTITUTE(B1101,"K","")),0),60),"00"),""))</f>
        <v/>
      </c>
      <c r="G1101" s="21">
        <f>IF(A1101="","",IF(COUNTIF(Atletas!$A$2:$A$302,A1101)&gt;0,"Sí","No"))</f>
        <v/>
      </c>
    </row>
    <row r="1102">
      <c r="A1102" s="17" t="n"/>
      <c r="B1102" s="17" t="n"/>
      <c r="C1102" s="18" t="n"/>
      <c r="D1102" s="19" t="n"/>
      <c r="E1102" s="17" t="n"/>
      <c r="F1102" s="21">
        <f>IF(OR(B1102="",C1102=""),"",IFERROR(INT(ROUND(IFERROR(TIMEVALUE(IF(LEN(C1102)-LEN(SUBSTITUTE(C1102,":",""))=2,"","0:")&amp;C1102)*86400,"")/VALUE(SUBSTITUTE(B1102,"K","")),0)/60)&amp;":"&amp;TEXT(MOD(ROUND(IFERROR(TIMEVALUE(IF(LEN(C1102)-LEN(SUBSTITUTE(C1102,":",""))=2,"","0:")&amp;C1102)*86400,"")/VALUE(SUBSTITUTE(B1102,"K","")),0),60),"00"),""))</f>
        <v/>
      </c>
      <c r="G1102" s="21">
        <f>IF(A1102="","",IF(COUNTIF(Atletas!$A$2:$A$302,A1102)&gt;0,"Sí","No"))</f>
        <v/>
      </c>
    </row>
    <row r="1103">
      <c r="A1103" s="17" t="n"/>
      <c r="B1103" s="17" t="n"/>
      <c r="C1103" s="18" t="n"/>
      <c r="D1103" s="19" t="n"/>
      <c r="E1103" s="17" t="n"/>
      <c r="F1103" s="21">
        <f>IF(OR(B1103="",C1103=""),"",IFERROR(INT(ROUND(IFERROR(TIMEVALUE(IF(LEN(C1103)-LEN(SUBSTITUTE(C1103,":",""))=2,"","0:")&amp;C1103)*86400,"")/VALUE(SUBSTITUTE(B1103,"K","")),0)/60)&amp;":"&amp;TEXT(MOD(ROUND(IFERROR(TIMEVALUE(IF(LEN(C1103)-LEN(SUBSTITUTE(C1103,":",""))=2,"","0:")&amp;C1103)*86400,"")/VALUE(SUBSTITUTE(B1103,"K","")),0),60),"00"),""))</f>
        <v/>
      </c>
      <c r="G1103" s="21">
        <f>IF(A1103="","",IF(COUNTIF(Atletas!$A$2:$A$302,A1103)&gt;0,"Sí","No"))</f>
        <v/>
      </c>
    </row>
    <row r="1104">
      <c r="A1104" s="17" t="n"/>
      <c r="B1104" s="17" t="n"/>
      <c r="C1104" s="18" t="n"/>
      <c r="D1104" s="19" t="n"/>
      <c r="E1104" s="17" t="n"/>
      <c r="F1104" s="21">
        <f>IF(OR(B1104="",C1104=""),"",IFERROR(INT(ROUND(IFERROR(TIMEVALUE(IF(LEN(C1104)-LEN(SUBSTITUTE(C1104,":",""))=2,"","0:")&amp;C1104)*86400,"")/VALUE(SUBSTITUTE(B1104,"K","")),0)/60)&amp;":"&amp;TEXT(MOD(ROUND(IFERROR(TIMEVALUE(IF(LEN(C1104)-LEN(SUBSTITUTE(C1104,":",""))=2,"","0:")&amp;C1104)*86400,"")/VALUE(SUBSTITUTE(B1104,"K","")),0),60),"00"),""))</f>
        <v/>
      </c>
      <c r="G1104" s="21">
        <f>IF(A1104="","",IF(COUNTIF(Atletas!$A$2:$A$302,A1104)&gt;0,"Sí","No"))</f>
        <v/>
      </c>
    </row>
    <row r="1105">
      <c r="A1105" s="17" t="n"/>
      <c r="B1105" s="17" t="n"/>
      <c r="C1105" s="18" t="n"/>
      <c r="D1105" s="19" t="n"/>
      <c r="E1105" s="17" t="n"/>
      <c r="F1105" s="21">
        <f>IF(OR(B1105="",C1105=""),"",IFERROR(INT(ROUND(IFERROR(TIMEVALUE(IF(LEN(C1105)-LEN(SUBSTITUTE(C1105,":",""))=2,"","0:")&amp;C1105)*86400,"")/VALUE(SUBSTITUTE(B1105,"K","")),0)/60)&amp;":"&amp;TEXT(MOD(ROUND(IFERROR(TIMEVALUE(IF(LEN(C1105)-LEN(SUBSTITUTE(C1105,":",""))=2,"","0:")&amp;C1105)*86400,"")/VALUE(SUBSTITUTE(B1105,"K","")),0),60),"00"),""))</f>
        <v/>
      </c>
      <c r="G1105" s="21">
        <f>IF(A1105="","",IF(COUNTIF(Atletas!$A$2:$A$302,A1105)&gt;0,"Sí","No"))</f>
        <v/>
      </c>
    </row>
    <row r="1106">
      <c r="A1106" s="17" t="n"/>
      <c r="B1106" s="17" t="n"/>
      <c r="C1106" s="18" t="n"/>
      <c r="D1106" s="19" t="n"/>
      <c r="E1106" s="17" t="n"/>
      <c r="F1106" s="21">
        <f>IF(OR(B1106="",C1106=""),"",IFERROR(INT(ROUND(IFERROR(TIMEVALUE(IF(LEN(C1106)-LEN(SUBSTITUTE(C1106,":",""))=2,"","0:")&amp;C1106)*86400,"")/VALUE(SUBSTITUTE(B1106,"K","")),0)/60)&amp;":"&amp;TEXT(MOD(ROUND(IFERROR(TIMEVALUE(IF(LEN(C1106)-LEN(SUBSTITUTE(C1106,":",""))=2,"","0:")&amp;C1106)*86400,"")/VALUE(SUBSTITUTE(B1106,"K","")),0),60),"00"),""))</f>
        <v/>
      </c>
      <c r="G1106" s="21">
        <f>IF(A1106="","",IF(COUNTIF(Atletas!$A$2:$A$302,A1106)&gt;0,"Sí","No"))</f>
        <v/>
      </c>
    </row>
    <row r="1107">
      <c r="A1107" s="17" t="n"/>
      <c r="B1107" s="17" t="n"/>
      <c r="C1107" s="18" t="n"/>
      <c r="D1107" s="19" t="n"/>
      <c r="E1107" s="17" t="n"/>
      <c r="F1107" s="21">
        <f>IF(OR(B1107="",C1107=""),"",IFERROR(INT(ROUND(IFERROR(TIMEVALUE(IF(LEN(C1107)-LEN(SUBSTITUTE(C1107,":",""))=2,"","0:")&amp;C1107)*86400,"")/VALUE(SUBSTITUTE(B1107,"K","")),0)/60)&amp;":"&amp;TEXT(MOD(ROUND(IFERROR(TIMEVALUE(IF(LEN(C1107)-LEN(SUBSTITUTE(C1107,":",""))=2,"","0:")&amp;C1107)*86400,"")/VALUE(SUBSTITUTE(B1107,"K","")),0),60),"00"),""))</f>
        <v/>
      </c>
      <c r="G1107" s="21">
        <f>IF(A1107="","",IF(COUNTIF(Atletas!$A$2:$A$302,A1107)&gt;0,"Sí","No"))</f>
        <v/>
      </c>
    </row>
    <row r="1108">
      <c r="A1108" s="17" t="n"/>
      <c r="B1108" s="17" t="n"/>
      <c r="C1108" s="18" t="n"/>
      <c r="D1108" s="19" t="n"/>
      <c r="E1108" s="17" t="n"/>
      <c r="F1108" s="21">
        <f>IF(OR(B1108="",C1108=""),"",IFERROR(INT(ROUND(IFERROR(TIMEVALUE(IF(LEN(C1108)-LEN(SUBSTITUTE(C1108,":",""))=2,"","0:")&amp;C1108)*86400,"")/VALUE(SUBSTITUTE(B1108,"K","")),0)/60)&amp;":"&amp;TEXT(MOD(ROUND(IFERROR(TIMEVALUE(IF(LEN(C1108)-LEN(SUBSTITUTE(C1108,":",""))=2,"","0:")&amp;C1108)*86400,"")/VALUE(SUBSTITUTE(B1108,"K","")),0),60),"00"),""))</f>
        <v/>
      </c>
      <c r="G1108" s="21">
        <f>IF(A1108="","",IF(COUNTIF(Atletas!$A$2:$A$302,A1108)&gt;0,"Sí","No"))</f>
        <v/>
      </c>
    </row>
    <row r="1109">
      <c r="A1109" s="17" t="n"/>
      <c r="B1109" s="17" t="n"/>
      <c r="C1109" s="18" t="n"/>
      <c r="D1109" s="19" t="n"/>
      <c r="E1109" s="17" t="n"/>
      <c r="F1109" s="21">
        <f>IF(OR(B1109="",C1109=""),"",IFERROR(INT(ROUND(IFERROR(TIMEVALUE(IF(LEN(C1109)-LEN(SUBSTITUTE(C1109,":",""))=2,"","0:")&amp;C1109)*86400,"")/VALUE(SUBSTITUTE(B1109,"K","")),0)/60)&amp;":"&amp;TEXT(MOD(ROUND(IFERROR(TIMEVALUE(IF(LEN(C1109)-LEN(SUBSTITUTE(C1109,":",""))=2,"","0:")&amp;C1109)*86400,"")/VALUE(SUBSTITUTE(B1109,"K","")),0),60),"00"),""))</f>
        <v/>
      </c>
      <c r="G1109" s="21">
        <f>IF(A1109="","",IF(COUNTIF(Atletas!$A$2:$A$302,A1109)&gt;0,"Sí","No"))</f>
        <v/>
      </c>
    </row>
    <row r="1110">
      <c r="A1110" s="17" t="n"/>
      <c r="B1110" s="17" t="n"/>
      <c r="C1110" s="18" t="n"/>
      <c r="D1110" s="19" t="n"/>
      <c r="E1110" s="17" t="n"/>
      <c r="F1110" s="21">
        <f>IF(OR(B1110="",C1110=""),"",IFERROR(INT(ROUND(IFERROR(TIMEVALUE(IF(LEN(C1110)-LEN(SUBSTITUTE(C1110,":",""))=2,"","0:")&amp;C1110)*86400,"")/VALUE(SUBSTITUTE(B1110,"K","")),0)/60)&amp;":"&amp;TEXT(MOD(ROUND(IFERROR(TIMEVALUE(IF(LEN(C1110)-LEN(SUBSTITUTE(C1110,":",""))=2,"","0:")&amp;C1110)*86400,"")/VALUE(SUBSTITUTE(B1110,"K","")),0),60),"00"),""))</f>
        <v/>
      </c>
      <c r="G1110" s="21">
        <f>IF(A1110="","",IF(COUNTIF(Atletas!$A$2:$A$302,A1110)&gt;0,"Sí","No"))</f>
        <v/>
      </c>
    </row>
    <row r="1111">
      <c r="A1111" s="17" t="n"/>
      <c r="B1111" s="17" t="n"/>
      <c r="C1111" s="18" t="n"/>
      <c r="D1111" s="19" t="n"/>
      <c r="E1111" s="17" t="n"/>
      <c r="F1111" s="21">
        <f>IF(OR(B1111="",C1111=""),"",IFERROR(INT(ROUND(IFERROR(TIMEVALUE(IF(LEN(C1111)-LEN(SUBSTITUTE(C1111,":",""))=2,"","0:")&amp;C1111)*86400,"")/VALUE(SUBSTITUTE(B1111,"K","")),0)/60)&amp;":"&amp;TEXT(MOD(ROUND(IFERROR(TIMEVALUE(IF(LEN(C1111)-LEN(SUBSTITUTE(C1111,":",""))=2,"","0:")&amp;C1111)*86400,"")/VALUE(SUBSTITUTE(B1111,"K","")),0),60),"00"),""))</f>
        <v/>
      </c>
      <c r="G1111" s="21">
        <f>IF(A1111="","",IF(COUNTIF(Atletas!$A$2:$A$302,A1111)&gt;0,"Sí","No"))</f>
        <v/>
      </c>
    </row>
    <row r="1112">
      <c r="A1112" s="17" t="n"/>
      <c r="B1112" s="17" t="n"/>
      <c r="C1112" s="18" t="n"/>
      <c r="D1112" s="19" t="n"/>
      <c r="E1112" s="17" t="n"/>
      <c r="F1112" s="21">
        <f>IF(OR(B1112="",C1112=""),"",IFERROR(INT(ROUND(IFERROR(TIMEVALUE(IF(LEN(C1112)-LEN(SUBSTITUTE(C1112,":",""))=2,"","0:")&amp;C1112)*86400,"")/VALUE(SUBSTITUTE(B1112,"K","")),0)/60)&amp;":"&amp;TEXT(MOD(ROUND(IFERROR(TIMEVALUE(IF(LEN(C1112)-LEN(SUBSTITUTE(C1112,":",""))=2,"","0:")&amp;C1112)*86400,"")/VALUE(SUBSTITUTE(B1112,"K","")),0),60),"00"),""))</f>
        <v/>
      </c>
      <c r="G1112" s="21">
        <f>IF(A1112="","",IF(COUNTIF(Atletas!$A$2:$A$302,A1112)&gt;0,"Sí","No"))</f>
        <v/>
      </c>
    </row>
    <row r="1113">
      <c r="A1113" s="17" t="n"/>
      <c r="B1113" s="17" t="n"/>
      <c r="C1113" s="18" t="n"/>
      <c r="D1113" s="19" t="n"/>
      <c r="E1113" s="17" t="n"/>
      <c r="F1113" s="21">
        <f>IF(OR(B1113="",C1113=""),"",IFERROR(INT(ROUND(IFERROR(TIMEVALUE(IF(LEN(C1113)-LEN(SUBSTITUTE(C1113,":",""))=2,"","0:")&amp;C1113)*86400,"")/VALUE(SUBSTITUTE(B1113,"K","")),0)/60)&amp;":"&amp;TEXT(MOD(ROUND(IFERROR(TIMEVALUE(IF(LEN(C1113)-LEN(SUBSTITUTE(C1113,":",""))=2,"","0:")&amp;C1113)*86400,"")/VALUE(SUBSTITUTE(B1113,"K","")),0),60),"00"),""))</f>
        <v/>
      </c>
      <c r="G1113" s="21">
        <f>IF(A1113="","",IF(COUNTIF(Atletas!$A$2:$A$302,A1113)&gt;0,"Sí","No"))</f>
        <v/>
      </c>
    </row>
    <row r="1114">
      <c r="A1114" s="17" t="n"/>
      <c r="B1114" s="17" t="n"/>
      <c r="C1114" s="18" t="n"/>
      <c r="D1114" s="19" t="n"/>
      <c r="E1114" s="17" t="n"/>
      <c r="F1114" s="21">
        <f>IF(OR(B1114="",C1114=""),"",IFERROR(INT(ROUND(IFERROR(TIMEVALUE(IF(LEN(C1114)-LEN(SUBSTITUTE(C1114,":",""))=2,"","0:")&amp;C1114)*86400,"")/VALUE(SUBSTITUTE(B1114,"K","")),0)/60)&amp;":"&amp;TEXT(MOD(ROUND(IFERROR(TIMEVALUE(IF(LEN(C1114)-LEN(SUBSTITUTE(C1114,":",""))=2,"","0:")&amp;C1114)*86400,"")/VALUE(SUBSTITUTE(B1114,"K","")),0),60),"00"),""))</f>
        <v/>
      </c>
      <c r="G1114" s="21">
        <f>IF(A1114="","",IF(COUNTIF(Atletas!$A$2:$A$302,A1114)&gt;0,"Sí","No"))</f>
        <v/>
      </c>
    </row>
    <row r="1115">
      <c r="A1115" s="17" t="n"/>
      <c r="B1115" s="17" t="n"/>
      <c r="C1115" s="18" t="n"/>
      <c r="D1115" s="19" t="n"/>
      <c r="E1115" s="17" t="n"/>
      <c r="F1115" s="21">
        <f>IF(OR(B1115="",C1115=""),"",IFERROR(INT(ROUND(IFERROR(TIMEVALUE(IF(LEN(C1115)-LEN(SUBSTITUTE(C1115,":",""))=2,"","0:")&amp;C1115)*86400,"")/VALUE(SUBSTITUTE(B1115,"K","")),0)/60)&amp;":"&amp;TEXT(MOD(ROUND(IFERROR(TIMEVALUE(IF(LEN(C1115)-LEN(SUBSTITUTE(C1115,":",""))=2,"","0:")&amp;C1115)*86400,"")/VALUE(SUBSTITUTE(B1115,"K","")),0),60),"00"),""))</f>
        <v/>
      </c>
      <c r="G1115" s="21">
        <f>IF(A1115="","",IF(COUNTIF(Atletas!$A$2:$A$302,A1115)&gt;0,"Sí","No"))</f>
        <v/>
      </c>
    </row>
    <row r="1116">
      <c r="A1116" s="17" t="n"/>
      <c r="B1116" s="17" t="n"/>
      <c r="C1116" s="18" t="n"/>
      <c r="D1116" s="19" t="n"/>
      <c r="E1116" s="17" t="n"/>
      <c r="F1116" s="21">
        <f>IF(OR(B1116="",C1116=""),"",IFERROR(INT(ROUND(IFERROR(TIMEVALUE(IF(LEN(C1116)-LEN(SUBSTITUTE(C1116,":",""))=2,"","0:")&amp;C1116)*86400,"")/VALUE(SUBSTITUTE(B1116,"K","")),0)/60)&amp;":"&amp;TEXT(MOD(ROUND(IFERROR(TIMEVALUE(IF(LEN(C1116)-LEN(SUBSTITUTE(C1116,":",""))=2,"","0:")&amp;C1116)*86400,"")/VALUE(SUBSTITUTE(B1116,"K","")),0),60),"00"),""))</f>
        <v/>
      </c>
      <c r="G1116" s="21">
        <f>IF(A1116="","",IF(COUNTIF(Atletas!$A$2:$A$302,A1116)&gt;0,"Sí","No"))</f>
        <v/>
      </c>
    </row>
    <row r="1117">
      <c r="A1117" s="17" t="n"/>
      <c r="B1117" s="17" t="n"/>
      <c r="C1117" s="18" t="n"/>
      <c r="D1117" s="19" t="n"/>
      <c r="E1117" s="17" t="n"/>
      <c r="F1117" s="21">
        <f>IF(OR(B1117="",C1117=""),"",IFERROR(INT(ROUND(IFERROR(TIMEVALUE(IF(LEN(C1117)-LEN(SUBSTITUTE(C1117,":",""))=2,"","0:")&amp;C1117)*86400,"")/VALUE(SUBSTITUTE(B1117,"K","")),0)/60)&amp;":"&amp;TEXT(MOD(ROUND(IFERROR(TIMEVALUE(IF(LEN(C1117)-LEN(SUBSTITUTE(C1117,":",""))=2,"","0:")&amp;C1117)*86400,"")/VALUE(SUBSTITUTE(B1117,"K","")),0),60),"00"),""))</f>
        <v/>
      </c>
      <c r="G1117" s="21">
        <f>IF(A1117="","",IF(COUNTIF(Atletas!$A$2:$A$302,A1117)&gt;0,"Sí","No"))</f>
        <v/>
      </c>
    </row>
    <row r="1118">
      <c r="A1118" s="17" t="n"/>
      <c r="B1118" s="17" t="n"/>
      <c r="C1118" s="18" t="n"/>
      <c r="D1118" s="19" t="n"/>
      <c r="E1118" s="17" t="n"/>
      <c r="F1118" s="21">
        <f>IF(OR(B1118="",C1118=""),"",IFERROR(INT(ROUND(IFERROR(TIMEVALUE(IF(LEN(C1118)-LEN(SUBSTITUTE(C1118,":",""))=2,"","0:")&amp;C1118)*86400,"")/VALUE(SUBSTITUTE(B1118,"K","")),0)/60)&amp;":"&amp;TEXT(MOD(ROUND(IFERROR(TIMEVALUE(IF(LEN(C1118)-LEN(SUBSTITUTE(C1118,":",""))=2,"","0:")&amp;C1118)*86400,"")/VALUE(SUBSTITUTE(B1118,"K","")),0),60),"00"),""))</f>
        <v/>
      </c>
      <c r="G1118" s="21">
        <f>IF(A1118="","",IF(COUNTIF(Atletas!$A$2:$A$302,A1118)&gt;0,"Sí","No"))</f>
        <v/>
      </c>
    </row>
    <row r="1119">
      <c r="A1119" s="17" t="n"/>
      <c r="B1119" s="17" t="n"/>
      <c r="C1119" s="18" t="n"/>
      <c r="D1119" s="19" t="n"/>
      <c r="E1119" s="17" t="n"/>
      <c r="F1119" s="21">
        <f>IF(OR(B1119="",C1119=""),"",IFERROR(INT(ROUND(IFERROR(TIMEVALUE(IF(LEN(C1119)-LEN(SUBSTITUTE(C1119,":",""))=2,"","0:")&amp;C1119)*86400,"")/VALUE(SUBSTITUTE(B1119,"K","")),0)/60)&amp;":"&amp;TEXT(MOD(ROUND(IFERROR(TIMEVALUE(IF(LEN(C1119)-LEN(SUBSTITUTE(C1119,":",""))=2,"","0:")&amp;C1119)*86400,"")/VALUE(SUBSTITUTE(B1119,"K","")),0),60),"00"),""))</f>
        <v/>
      </c>
      <c r="G1119" s="21">
        <f>IF(A1119="","",IF(COUNTIF(Atletas!$A$2:$A$302,A1119)&gt;0,"Sí","No"))</f>
        <v/>
      </c>
    </row>
    <row r="1120">
      <c r="A1120" s="17" t="n"/>
      <c r="B1120" s="17" t="n"/>
      <c r="C1120" s="18" t="n"/>
      <c r="D1120" s="19" t="n"/>
      <c r="E1120" s="17" t="n"/>
      <c r="F1120" s="21">
        <f>IF(OR(B1120="",C1120=""),"",IFERROR(INT(ROUND(IFERROR(TIMEVALUE(IF(LEN(C1120)-LEN(SUBSTITUTE(C1120,":",""))=2,"","0:")&amp;C1120)*86400,"")/VALUE(SUBSTITUTE(B1120,"K","")),0)/60)&amp;":"&amp;TEXT(MOD(ROUND(IFERROR(TIMEVALUE(IF(LEN(C1120)-LEN(SUBSTITUTE(C1120,":",""))=2,"","0:")&amp;C1120)*86400,"")/VALUE(SUBSTITUTE(B1120,"K","")),0),60),"00"),""))</f>
        <v/>
      </c>
      <c r="G1120" s="21">
        <f>IF(A1120="","",IF(COUNTIF(Atletas!$A$2:$A$302,A1120)&gt;0,"Sí","No"))</f>
        <v/>
      </c>
    </row>
    <row r="1121">
      <c r="A1121" s="17" t="n"/>
      <c r="B1121" s="17" t="n"/>
      <c r="C1121" s="18" t="n"/>
      <c r="D1121" s="19" t="n"/>
      <c r="E1121" s="17" t="n"/>
      <c r="F1121" s="21">
        <f>IF(OR(B1121="",C1121=""),"",IFERROR(INT(ROUND(IFERROR(TIMEVALUE(IF(LEN(C1121)-LEN(SUBSTITUTE(C1121,":",""))=2,"","0:")&amp;C1121)*86400,"")/VALUE(SUBSTITUTE(B1121,"K","")),0)/60)&amp;":"&amp;TEXT(MOD(ROUND(IFERROR(TIMEVALUE(IF(LEN(C1121)-LEN(SUBSTITUTE(C1121,":",""))=2,"","0:")&amp;C1121)*86400,"")/VALUE(SUBSTITUTE(B1121,"K","")),0),60),"00"),""))</f>
        <v/>
      </c>
      <c r="G1121" s="21">
        <f>IF(A1121="","",IF(COUNTIF(Atletas!$A$2:$A$302,A1121)&gt;0,"Sí","No"))</f>
        <v/>
      </c>
    </row>
    <row r="1122">
      <c r="A1122" s="17" t="n"/>
      <c r="B1122" s="17" t="n"/>
      <c r="C1122" s="18" t="n"/>
      <c r="D1122" s="19" t="n"/>
      <c r="E1122" s="17" t="n"/>
      <c r="F1122" s="21">
        <f>IF(OR(B1122="",C1122=""),"",IFERROR(INT(ROUND(IFERROR(TIMEVALUE(IF(LEN(C1122)-LEN(SUBSTITUTE(C1122,":",""))=2,"","0:")&amp;C1122)*86400,"")/VALUE(SUBSTITUTE(B1122,"K","")),0)/60)&amp;":"&amp;TEXT(MOD(ROUND(IFERROR(TIMEVALUE(IF(LEN(C1122)-LEN(SUBSTITUTE(C1122,":",""))=2,"","0:")&amp;C1122)*86400,"")/VALUE(SUBSTITUTE(B1122,"K","")),0),60),"00"),""))</f>
        <v/>
      </c>
      <c r="G1122" s="21">
        <f>IF(A1122="","",IF(COUNTIF(Atletas!$A$2:$A$302,A1122)&gt;0,"Sí","No"))</f>
        <v/>
      </c>
    </row>
    <row r="1123">
      <c r="A1123" s="17" t="n"/>
      <c r="B1123" s="17" t="n"/>
      <c r="C1123" s="18" t="n"/>
      <c r="D1123" s="19" t="n"/>
      <c r="E1123" s="17" t="n"/>
      <c r="F1123" s="21">
        <f>IF(OR(B1123="",C1123=""),"",IFERROR(INT(ROUND(IFERROR(TIMEVALUE(IF(LEN(C1123)-LEN(SUBSTITUTE(C1123,":",""))=2,"","0:")&amp;C1123)*86400,"")/VALUE(SUBSTITUTE(B1123,"K","")),0)/60)&amp;":"&amp;TEXT(MOD(ROUND(IFERROR(TIMEVALUE(IF(LEN(C1123)-LEN(SUBSTITUTE(C1123,":",""))=2,"","0:")&amp;C1123)*86400,"")/VALUE(SUBSTITUTE(B1123,"K","")),0),60),"00"),""))</f>
        <v/>
      </c>
      <c r="G1123" s="21">
        <f>IF(A1123="","",IF(COUNTIF(Atletas!$A$2:$A$302,A1123)&gt;0,"Sí","No"))</f>
        <v/>
      </c>
    </row>
    <row r="1124">
      <c r="A1124" s="17" t="n"/>
      <c r="B1124" s="17" t="n"/>
      <c r="C1124" s="18" t="n"/>
      <c r="D1124" s="19" t="n"/>
      <c r="E1124" s="17" t="n"/>
      <c r="F1124" s="21">
        <f>IF(OR(B1124="",C1124=""),"",IFERROR(INT(ROUND(IFERROR(TIMEVALUE(IF(LEN(C1124)-LEN(SUBSTITUTE(C1124,":",""))=2,"","0:")&amp;C1124)*86400,"")/VALUE(SUBSTITUTE(B1124,"K","")),0)/60)&amp;":"&amp;TEXT(MOD(ROUND(IFERROR(TIMEVALUE(IF(LEN(C1124)-LEN(SUBSTITUTE(C1124,":",""))=2,"","0:")&amp;C1124)*86400,"")/VALUE(SUBSTITUTE(B1124,"K","")),0),60),"00"),""))</f>
        <v/>
      </c>
      <c r="G1124" s="21">
        <f>IF(A1124="","",IF(COUNTIF(Atletas!$A$2:$A$302,A1124)&gt;0,"Sí","No"))</f>
        <v/>
      </c>
    </row>
    <row r="1125">
      <c r="A1125" s="17" t="n"/>
      <c r="B1125" s="17" t="n"/>
      <c r="C1125" s="18" t="n"/>
      <c r="D1125" s="19" t="n"/>
      <c r="E1125" s="17" t="n"/>
      <c r="F1125" s="21">
        <f>IF(OR(B1125="",C1125=""),"",IFERROR(INT(ROUND(IFERROR(TIMEVALUE(IF(LEN(C1125)-LEN(SUBSTITUTE(C1125,":",""))=2,"","0:")&amp;C1125)*86400,"")/VALUE(SUBSTITUTE(B1125,"K","")),0)/60)&amp;":"&amp;TEXT(MOD(ROUND(IFERROR(TIMEVALUE(IF(LEN(C1125)-LEN(SUBSTITUTE(C1125,":",""))=2,"","0:")&amp;C1125)*86400,"")/VALUE(SUBSTITUTE(B1125,"K","")),0),60),"00"),""))</f>
        <v/>
      </c>
      <c r="G1125" s="21">
        <f>IF(A1125="","",IF(COUNTIF(Atletas!$A$2:$A$302,A1125)&gt;0,"Sí","No"))</f>
        <v/>
      </c>
    </row>
    <row r="1126">
      <c r="A1126" s="17" t="n"/>
      <c r="B1126" s="17" t="n"/>
      <c r="C1126" s="18" t="n"/>
      <c r="D1126" s="19" t="n"/>
      <c r="E1126" s="17" t="n"/>
      <c r="F1126" s="21">
        <f>IF(OR(B1126="",C1126=""),"",IFERROR(INT(ROUND(IFERROR(TIMEVALUE(IF(LEN(C1126)-LEN(SUBSTITUTE(C1126,":",""))=2,"","0:")&amp;C1126)*86400,"")/VALUE(SUBSTITUTE(B1126,"K","")),0)/60)&amp;":"&amp;TEXT(MOD(ROUND(IFERROR(TIMEVALUE(IF(LEN(C1126)-LEN(SUBSTITUTE(C1126,":",""))=2,"","0:")&amp;C1126)*86400,"")/VALUE(SUBSTITUTE(B1126,"K","")),0),60),"00"),""))</f>
        <v/>
      </c>
      <c r="G1126" s="21">
        <f>IF(A1126="","",IF(COUNTIF(Atletas!$A$2:$A$302,A1126)&gt;0,"Sí","No"))</f>
        <v/>
      </c>
    </row>
    <row r="1127">
      <c r="A1127" s="17" t="n"/>
      <c r="B1127" s="17" t="n"/>
      <c r="C1127" s="18" t="n"/>
      <c r="D1127" s="19" t="n"/>
      <c r="E1127" s="17" t="n"/>
      <c r="F1127" s="21">
        <f>IF(OR(B1127="",C1127=""),"",IFERROR(INT(ROUND(IFERROR(TIMEVALUE(IF(LEN(C1127)-LEN(SUBSTITUTE(C1127,":",""))=2,"","0:")&amp;C1127)*86400,"")/VALUE(SUBSTITUTE(B1127,"K","")),0)/60)&amp;":"&amp;TEXT(MOD(ROUND(IFERROR(TIMEVALUE(IF(LEN(C1127)-LEN(SUBSTITUTE(C1127,":",""))=2,"","0:")&amp;C1127)*86400,"")/VALUE(SUBSTITUTE(B1127,"K","")),0),60),"00"),""))</f>
        <v/>
      </c>
      <c r="G1127" s="21">
        <f>IF(A1127="","",IF(COUNTIF(Atletas!$A$2:$A$302,A1127)&gt;0,"Sí","No"))</f>
        <v/>
      </c>
    </row>
    <row r="1128">
      <c r="A1128" s="17" t="n"/>
      <c r="B1128" s="17" t="n"/>
      <c r="C1128" s="18" t="n"/>
      <c r="D1128" s="19" t="n"/>
      <c r="E1128" s="17" t="n"/>
      <c r="F1128" s="21">
        <f>IF(OR(B1128="",C1128=""),"",IFERROR(INT(ROUND(IFERROR(TIMEVALUE(IF(LEN(C1128)-LEN(SUBSTITUTE(C1128,":",""))=2,"","0:")&amp;C1128)*86400,"")/VALUE(SUBSTITUTE(B1128,"K","")),0)/60)&amp;":"&amp;TEXT(MOD(ROUND(IFERROR(TIMEVALUE(IF(LEN(C1128)-LEN(SUBSTITUTE(C1128,":",""))=2,"","0:")&amp;C1128)*86400,"")/VALUE(SUBSTITUTE(B1128,"K","")),0),60),"00"),""))</f>
        <v/>
      </c>
      <c r="G1128" s="21">
        <f>IF(A1128="","",IF(COUNTIF(Atletas!$A$2:$A$302,A1128)&gt;0,"Sí","No"))</f>
        <v/>
      </c>
    </row>
    <row r="1129">
      <c r="A1129" s="17" t="n"/>
      <c r="B1129" s="17" t="n"/>
      <c r="C1129" s="18" t="n"/>
      <c r="D1129" s="19" t="n"/>
      <c r="E1129" s="17" t="n"/>
      <c r="F1129" s="21">
        <f>IF(OR(B1129="",C1129=""),"",IFERROR(INT(ROUND(IFERROR(TIMEVALUE(IF(LEN(C1129)-LEN(SUBSTITUTE(C1129,":",""))=2,"","0:")&amp;C1129)*86400,"")/VALUE(SUBSTITUTE(B1129,"K","")),0)/60)&amp;":"&amp;TEXT(MOD(ROUND(IFERROR(TIMEVALUE(IF(LEN(C1129)-LEN(SUBSTITUTE(C1129,":",""))=2,"","0:")&amp;C1129)*86400,"")/VALUE(SUBSTITUTE(B1129,"K","")),0),60),"00"),""))</f>
        <v/>
      </c>
      <c r="G1129" s="21">
        <f>IF(A1129="","",IF(COUNTIF(Atletas!$A$2:$A$302,A1129)&gt;0,"Sí","No"))</f>
        <v/>
      </c>
    </row>
    <row r="1130">
      <c r="A1130" s="17" t="n"/>
      <c r="B1130" s="17" t="n"/>
      <c r="C1130" s="18" t="n"/>
      <c r="D1130" s="19" t="n"/>
      <c r="E1130" s="17" t="n"/>
      <c r="F1130" s="21">
        <f>IF(OR(B1130="",C1130=""),"",IFERROR(INT(ROUND(IFERROR(TIMEVALUE(IF(LEN(C1130)-LEN(SUBSTITUTE(C1130,":",""))=2,"","0:")&amp;C1130)*86400,"")/VALUE(SUBSTITUTE(B1130,"K","")),0)/60)&amp;":"&amp;TEXT(MOD(ROUND(IFERROR(TIMEVALUE(IF(LEN(C1130)-LEN(SUBSTITUTE(C1130,":",""))=2,"","0:")&amp;C1130)*86400,"")/VALUE(SUBSTITUTE(B1130,"K","")),0),60),"00"),""))</f>
        <v/>
      </c>
      <c r="G1130" s="21">
        <f>IF(A1130="","",IF(COUNTIF(Atletas!$A$2:$A$302,A1130)&gt;0,"Sí","No"))</f>
        <v/>
      </c>
    </row>
    <row r="1131">
      <c r="A1131" s="17" t="n"/>
      <c r="B1131" s="17" t="n"/>
      <c r="C1131" s="18" t="n"/>
      <c r="D1131" s="19" t="n"/>
      <c r="E1131" s="17" t="n"/>
      <c r="F1131" s="21">
        <f>IF(OR(B1131="",C1131=""),"",IFERROR(INT(ROUND(IFERROR(TIMEVALUE(IF(LEN(C1131)-LEN(SUBSTITUTE(C1131,":",""))=2,"","0:")&amp;C1131)*86400,"")/VALUE(SUBSTITUTE(B1131,"K","")),0)/60)&amp;":"&amp;TEXT(MOD(ROUND(IFERROR(TIMEVALUE(IF(LEN(C1131)-LEN(SUBSTITUTE(C1131,":",""))=2,"","0:")&amp;C1131)*86400,"")/VALUE(SUBSTITUTE(B1131,"K","")),0),60),"00"),""))</f>
        <v/>
      </c>
      <c r="G1131" s="21">
        <f>IF(A1131="","",IF(COUNTIF(Atletas!$A$2:$A$302,A1131)&gt;0,"Sí","No"))</f>
        <v/>
      </c>
    </row>
    <row r="1132">
      <c r="A1132" s="17" t="n"/>
      <c r="B1132" s="17" t="n"/>
      <c r="C1132" s="18" t="n"/>
      <c r="D1132" s="19" t="n"/>
      <c r="E1132" s="17" t="n"/>
      <c r="F1132" s="21">
        <f>IF(OR(B1132="",C1132=""),"",IFERROR(INT(ROUND(IFERROR(TIMEVALUE(IF(LEN(C1132)-LEN(SUBSTITUTE(C1132,":",""))=2,"","0:")&amp;C1132)*86400,"")/VALUE(SUBSTITUTE(B1132,"K","")),0)/60)&amp;":"&amp;TEXT(MOD(ROUND(IFERROR(TIMEVALUE(IF(LEN(C1132)-LEN(SUBSTITUTE(C1132,":",""))=2,"","0:")&amp;C1132)*86400,"")/VALUE(SUBSTITUTE(B1132,"K","")),0),60),"00"),""))</f>
        <v/>
      </c>
      <c r="G1132" s="21">
        <f>IF(A1132="","",IF(COUNTIF(Atletas!$A$2:$A$302,A1132)&gt;0,"Sí","No"))</f>
        <v/>
      </c>
    </row>
    <row r="1133">
      <c r="A1133" s="17" t="n"/>
      <c r="B1133" s="17" t="n"/>
      <c r="C1133" s="18" t="n"/>
      <c r="D1133" s="19" t="n"/>
      <c r="E1133" s="17" t="n"/>
      <c r="F1133" s="21">
        <f>IF(OR(B1133="",C1133=""),"",IFERROR(INT(ROUND(IFERROR(TIMEVALUE(IF(LEN(C1133)-LEN(SUBSTITUTE(C1133,":",""))=2,"","0:")&amp;C1133)*86400,"")/VALUE(SUBSTITUTE(B1133,"K","")),0)/60)&amp;":"&amp;TEXT(MOD(ROUND(IFERROR(TIMEVALUE(IF(LEN(C1133)-LEN(SUBSTITUTE(C1133,":",""))=2,"","0:")&amp;C1133)*86400,"")/VALUE(SUBSTITUTE(B1133,"K","")),0),60),"00"),""))</f>
        <v/>
      </c>
      <c r="G1133" s="21">
        <f>IF(A1133="","",IF(COUNTIF(Atletas!$A$2:$A$302,A1133)&gt;0,"Sí","No"))</f>
        <v/>
      </c>
    </row>
    <row r="1134">
      <c r="A1134" s="17" t="n"/>
      <c r="B1134" s="17" t="n"/>
      <c r="C1134" s="18" t="n"/>
      <c r="D1134" s="19" t="n"/>
      <c r="E1134" s="17" t="n"/>
      <c r="F1134" s="21">
        <f>IF(OR(B1134="",C1134=""),"",IFERROR(INT(ROUND(IFERROR(TIMEVALUE(IF(LEN(C1134)-LEN(SUBSTITUTE(C1134,":",""))=2,"","0:")&amp;C1134)*86400,"")/VALUE(SUBSTITUTE(B1134,"K","")),0)/60)&amp;":"&amp;TEXT(MOD(ROUND(IFERROR(TIMEVALUE(IF(LEN(C1134)-LEN(SUBSTITUTE(C1134,":",""))=2,"","0:")&amp;C1134)*86400,"")/VALUE(SUBSTITUTE(B1134,"K","")),0),60),"00"),""))</f>
        <v/>
      </c>
      <c r="G1134" s="21">
        <f>IF(A1134="","",IF(COUNTIF(Atletas!$A$2:$A$302,A1134)&gt;0,"Sí","No"))</f>
        <v/>
      </c>
    </row>
    <row r="1135">
      <c r="A1135" s="17" t="n"/>
      <c r="B1135" s="17" t="n"/>
      <c r="C1135" s="18" t="n"/>
      <c r="D1135" s="19" t="n"/>
      <c r="E1135" s="17" t="n"/>
      <c r="F1135" s="21">
        <f>IF(OR(B1135="",C1135=""),"",IFERROR(INT(ROUND(IFERROR(TIMEVALUE(IF(LEN(C1135)-LEN(SUBSTITUTE(C1135,":",""))=2,"","0:")&amp;C1135)*86400,"")/VALUE(SUBSTITUTE(B1135,"K","")),0)/60)&amp;":"&amp;TEXT(MOD(ROUND(IFERROR(TIMEVALUE(IF(LEN(C1135)-LEN(SUBSTITUTE(C1135,":",""))=2,"","0:")&amp;C1135)*86400,"")/VALUE(SUBSTITUTE(B1135,"K","")),0),60),"00"),""))</f>
        <v/>
      </c>
      <c r="G1135" s="21">
        <f>IF(A1135="","",IF(COUNTIF(Atletas!$A$2:$A$302,A1135)&gt;0,"Sí","No"))</f>
        <v/>
      </c>
    </row>
    <row r="1136">
      <c r="A1136" s="17" t="n"/>
      <c r="B1136" s="17" t="n"/>
      <c r="C1136" s="18" t="n"/>
      <c r="D1136" s="19" t="n"/>
      <c r="E1136" s="17" t="n"/>
      <c r="F1136" s="21">
        <f>IF(OR(B1136="",C1136=""),"",IFERROR(INT(ROUND(IFERROR(TIMEVALUE(IF(LEN(C1136)-LEN(SUBSTITUTE(C1136,":",""))=2,"","0:")&amp;C1136)*86400,"")/VALUE(SUBSTITUTE(B1136,"K","")),0)/60)&amp;":"&amp;TEXT(MOD(ROUND(IFERROR(TIMEVALUE(IF(LEN(C1136)-LEN(SUBSTITUTE(C1136,":",""))=2,"","0:")&amp;C1136)*86400,"")/VALUE(SUBSTITUTE(B1136,"K","")),0),60),"00"),""))</f>
        <v/>
      </c>
      <c r="G1136" s="21">
        <f>IF(A1136="","",IF(COUNTIF(Atletas!$A$2:$A$302,A1136)&gt;0,"Sí","No"))</f>
        <v/>
      </c>
    </row>
    <row r="1137">
      <c r="A1137" s="17" t="n"/>
      <c r="B1137" s="17" t="n"/>
      <c r="C1137" s="18" t="n"/>
      <c r="D1137" s="19" t="n"/>
      <c r="E1137" s="17" t="n"/>
      <c r="F1137" s="21">
        <f>IF(OR(B1137="",C1137=""),"",IFERROR(INT(ROUND(IFERROR(TIMEVALUE(IF(LEN(C1137)-LEN(SUBSTITUTE(C1137,":",""))=2,"","0:")&amp;C1137)*86400,"")/VALUE(SUBSTITUTE(B1137,"K","")),0)/60)&amp;":"&amp;TEXT(MOD(ROUND(IFERROR(TIMEVALUE(IF(LEN(C1137)-LEN(SUBSTITUTE(C1137,":",""))=2,"","0:")&amp;C1137)*86400,"")/VALUE(SUBSTITUTE(B1137,"K","")),0),60),"00"),""))</f>
        <v/>
      </c>
      <c r="G1137" s="21">
        <f>IF(A1137="","",IF(COUNTIF(Atletas!$A$2:$A$302,A1137)&gt;0,"Sí","No"))</f>
        <v/>
      </c>
    </row>
    <row r="1138">
      <c r="A1138" s="17" t="n"/>
      <c r="B1138" s="17" t="n"/>
      <c r="C1138" s="18" t="n"/>
      <c r="D1138" s="19" t="n"/>
      <c r="E1138" s="17" t="n"/>
      <c r="F1138" s="21">
        <f>IF(OR(B1138="",C1138=""),"",IFERROR(INT(ROUND(IFERROR(TIMEVALUE(IF(LEN(C1138)-LEN(SUBSTITUTE(C1138,":",""))=2,"","0:")&amp;C1138)*86400,"")/VALUE(SUBSTITUTE(B1138,"K","")),0)/60)&amp;":"&amp;TEXT(MOD(ROUND(IFERROR(TIMEVALUE(IF(LEN(C1138)-LEN(SUBSTITUTE(C1138,":",""))=2,"","0:")&amp;C1138)*86400,"")/VALUE(SUBSTITUTE(B1138,"K","")),0),60),"00"),""))</f>
        <v/>
      </c>
      <c r="G1138" s="21">
        <f>IF(A1138="","",IF(COUNTIF(Atletas!$A$2:$A$302,A1138)&gt;0,"Sí","No"))</f>
        <v/>
      </c>
    </row>
    <row r="1139">
      <c r="A1139" s="17" t="n"/>
      <c r="B1139" s="17" t="n"/>
      <c r="C1139" s="18" t="n"/>
      <c r="D1139" s="19" t="n"/>
      <c r="E1139" s="17" t="n"/>
      <c r="F1139" s="21">
        <f>IF(OR(B1139="",C1139=""),"",IFERROR(INT(ROUND(IFERROR(TIMEVALUE(IF(LEN(C1139)-LEN(SUBSTITUTE(C1139,":",""))=2,"","0:")&amp;C1139)*86400,"")/VALUE(SUBSTITUTE(B1139,"K","")),0)/60)&amp;":"&amp;TEXT(MOD(ROUND(IFERROR(TIMEVALUE(IF(LEN(C1139)-LEN(SUBSTITUTE(C1139,":",""))=2,"","0:")&amp;C1139)*86400,"")/VALUE(SUBSTITUTE(B1139,"K","")),0),60),"00"),""))</f>
        <v/>
      </c>
      <c r="G1139" s="21">
        <f>IF(A1139="","",IF(COUNTIF(Atletas!$A$2:$A$302,A1139)&gt;0,"Sí","No"))</f>
        <v/>
      </c>
    </row>
    <row r="1140">
      <c r="A1140" s="17" t="n"/>
      <c r="B1140" s="17" t="n"/>
      <c r="C1140" s="18" t="n"/>
      <c r="D1140" s="19" t="n"/>
      <c r="E1140" s="17" t="n"/>
      <c r="F1140" s="21">
        <f>IF(OR(B1140="",C1140=""),"",IFERROR(INT(ROUND(IFERROR(TIMEVALUE(IF(LEN(C1140)-LEN(SUBSTITUTE(C1140,":",""))=2,"","0:")&amp;C1140)*86400,"")/VALUE(SUBSTITUTE(B1140,"K","")),0)/60)&amp;":"&amp;TEXT(MOD(ROUND(IFERROR(TIMEVALUE(IF(LEN(C1140)-LEN(SUBSTITUTE(C1140,":",""))=2,"","0:")&amp;C1140)*86400,"")/VALUE(SUBSTITUTE(B1140,"K","")),0),60),"00"),""))</f>
        <v/>
      </c>
      <c r="G1140" s="21">
        <f>IF(A1140="","",IF(COUNTIF(Atletas!$A$2:$A$302,A1140)&gt;0,"Sí","No"))</f>
        <v/>
      </c>
    </row>
    <row r="1141">
      <c r="A1141" s="17" t="n"/>
      <c r="B1141" s="17" t="n"/>
      <c r="C1141" s="18" t="n"/>
      <c r="D1141" s="19" t="n"/>
      <c r="E1141" s="17" t="n"/>
      <c r="F1141" s="21">
        <f>IF(OR(B1141="",C1141=""),"",IFERROR(INT(ROUND(IFERROR(TIMEVALUE(IF(LEN(C1141)-LEN(SUBSTITUTE(C1141,":",""))=2,"","0:")&amp;C1141)*86400,"")/VALUE(SUBSTITUTE(B1141,"K","")),0)/60)&amp;":"&amp;TEXT(MOD(ROUND(IFERROR(TIMEVALUE(IF(LEN(C1141)-LEN(SUBSTITUTE(C1141,":",""))=2,"","0:")&amp;C1141)*86400,"")/VALUE(SUBSTITUTE(B1141,"K","")),0),60),"00"),""))</f>
        <v/>
      </c>
      <c r="G1141" s="21">
        <f>IF(A1141="","",IF(COUNTIF(Atletas!$A$2:$A$302,A1141)&gt;0,"Sí","No"))</f>
        <v/>
      </c>
    </row>
    <row r="1142">
      <c r="A1142" s="17" t="n"/>
      <c r="B1142" s="17" t="n"/>
      <c r="C1142" s="18" t="n"/>
      <c r="D1142" s="19" t="n"/>
      <c r="E1142" s="17" t="n"/>
      <c r="F1142" s="21">
        <f>IF(OR(B1142="",C1142=""),"",IFERROR(INT(ROUND(IFERROR(TIMEVALUE(IF(LEN(C1142)-LEN(SUBSTITUTE(C1142,":",""))=2,"","0:")&amp;C1142)*86400,"")/VALUE(SUBSTITUTE(B1142,"K","")),0)/60)&amp;":"&amp;TEXT(MOD(ROUND(IFERROR(TIMEVALUE(IF(LEN(C1142)-LEN(SUBSTITUTE(C1142,":",""))=2,"","0:")&amp;C1142)*86400,"")/VALUE(SUBSTITUTE(B1142,"K","")),0),60),"00"),""))</f>
        <v/>
      </c>
      <c r="G1142" s="21">
        <f>IF(A1142="","",IF(COUNTIF(Atletas!$A$2:$A$302,A1142)&gt;0,"Sí","No"))</f>
        <v/>
      </c>
    </row>
    <row r="1143">
      <c r="A1143" s="17" t="n"/>
      <c r="B1143" s="17" t="n"/>
      <c r="C1143" s="18" t="n"/>
      <c r="D1143" s="19" t="n"/>
      <c r="E1143" s="17" t="n"/>
      <c r="F1143" s="21">
        <f>IF(OR(B1143="",C1143=""),"",IFERROR(INT(ROUND(IFERROR(TIMEVALUE(IF(LEN(C1143)-LEN(SUBSTITUTE(C1143,":",""))=2,"","0:")&amp;C1143)*86400,"")/VALUE(SUBSTITUTE(B1143,"K","")),0)/60)&amp;":"&amp;TEXT(MOD(ROUND(IFERROR(TIMEVALUE(IF(LEN(C1143)-LEN(SUBSTITUTE(C1143,":",""))=2,"","0:")&amp;C1143)*86400,"")/VALUE(SUBSTITUTE(B1143,"K","")),0),60),"00"),""))</f>
        <v/>
      </c>
      <c r="G1143" s="21">
        <f>IF(A1143="","",IF(COUNTIF(Atletas!$A$2:$A$302,A1143)&gt;0,"Sí","No"))</f>
        <v/>
      </c>
    </row>
    <row r="1144">
      <c r="A1144" s="17" t="n"/>
      <c r="B1144" s="17" t="n"/>
      <c r="C1144" s="18" t="n"/>
      <c r="D1144" s="19" t="n"/>
      <c r="E1144" s="17" t="n"/>
      <c r="F1144" s="21">
        <f>IF(OR(B1144="",C1144=""),"",IFERROR(INT(ROUND(IFERROR(TIMEVALUE(IF(LEN(C1144)-LEN(SUBSTITUTE(C1144,":",""))=2,"","0:")&amp;C1144)*86400,"")/VALUE(SUBSTITUTE(B1144,"K","")),0)/60)&amp;":"&amp;TEXT(MOD(ROUND(IFERROR(TIMEVALUE(IF(LEN(C1144)-LEN(SUBSTITUTE(C1144,":",""))=2,"","0:")&amp;C1144)*86400,"")/VALUE(SUBSTITUTE(B1144,"K","")),0),60),"00"),""))</f>
        <v/>
      </c>
      <c r="G1144" s="21">
        <f>IF(A1144="","",IF(COUNTIF(Atletas!$A$2:$A$302,A1144)&gt;0,"Sí","No"))</f>
        <v/>
      </c>
    </row>
    <row r="1145">
      <c r="A1145" s="17" t="n"/>
      <c r="B1145" s="17" t="n"/>
      <c r="C1145" s="18" t="n"/>
      <c r="D1145" s="19" t="n"/>
      <c r="E1145" s="17" t="n"/>
      <c r="F1145" s="21">
        <f>IF(OR(B1145="",C1145=""),"",IFERROR(INT(ROUND(IFERROR(TIMEVALUE(IF(LEN(C1145)-LEN(SUBSTITUTE(C1145,":",""))=2,"","0:")&amp;C1145)*86400,"")/VALUE(SUBSTITUTE(B1145,"K","")),0)/60)&amp;":"&amp;TEXT(MOD(ROUND(IFERROR(TIMEVALUE(IF(LEN(C1145)-LEN(SUBSTITUTE(C1145,":",""))=2,"","0:")&amp;C1145)*86400,"")/VALUE(SUBSTITUTE(B1145,"K","")),0),60),"00"),""))</f>
        <v/>
      </c>
      <c r="G1145" s="21">
        <f>IF(A1145="","",IF(COUNTIF(Atletas!$A$2:$A$302,A1145)&gt;0,"Sí","No"))</f>
        <v/>
      </c>
    </row>
    <row r="1146">
      <c r="A1146" s="17" t="n"/>
      <c r="B1146" s="17" t="n"/>
      <c r="C1146" s="18" t="n"/>
      <c r="D1146" s="19" t="n"/>
      <c r="E1146" s="17" t="n"/>
      <c r="F1146" s="21">
        <f>IF(OR(B1146="",C1146=""),"",IFERROR(INT(ROUND(IFERROR(TIMEVALUE(IF(LEN(C1146)-LEN(SUBSTITUTE(C1146,":",""))=2,"","0:")&amp;C1146)*86400,"")/VALUE(SUBSTITUTE(B1146,"K","")),0)/60)&amp;":"&amp;TEXT(MOD(ROUND(IFERROR(TIMEVALUE(IF(LEN(C1146)-LEN(SUBSTITUTE(C1146,":",""))=2,"","0:")&amp;C1146)*86400,"")/VALUE(SUBSTITUTE(B1146,"K","")),0),60),"00"),""))</f>
        <v/>
      </c>
      <c r="G1146" s="21">
        <f>IF(A1146="","",IF(COUNTIF(Atletas!$A$2:$A$302,A1146)&gt;0,"Sí","No"))</f>
        <v/>
      </c>
    </row>
    <row r="1147">
      <c r="A1147" s="17" t="n"/>
      <c r="B1147" s="17" t="n"/>
      <c r="C1147" s="18" t="n"/>
      <c r="D1147" s="19" t="n"/>
      <c r="E1147" s="17" t="n"/>
      <c r="F1147" s="21">
        <f>IF(OR(B1147="",C1147=""),"",IFERROR(INT(ROUND(IFERROR(TIMEVALUE(IF(LEN(C1147)-LEN(SUBSTITUTE(C1147,":",""))=2,"","0:")&amp;C1147)*86400,"")/VALUE(SUBSTITUTE(B1147,"K","")),0)/60)&amp;":"&amp;TEXT(MOD(ROUND(IFERROR(TIMEVALUE(IF(LEN(C1147)-LEN(SUBSTITUTE(C1147,":",""))=2,"","0:")&amp;C1147)*86400,"")/VALUE(SUBSTITUTE(B1147,"K","")),0),60),"00"),""))</f>
        <v/>
      </c>
      <c r="G1147" s="21">
        <f>IF(A1147="","",IF(COUNTIF(Atletas!$A$2:$A$302,A1147)&gt;0,"Sí","No"))</f>
        <v/>
      </c>
    </row>
    <row r="1148">
      <c r="A1148" s="17" t="n"/>
      <c r="B1148" s="17" t="n"/>
      <c r="C1148" s="18" t="n"/>
      <c r="D1148" s="19" t="n"/>
      <c r="E1148" s="17" t="n"/>
      <c r="F1148" s="21">
        <f>IF(OR(B1148="",C1148=""),"",IFERROR(INT(ROUND(IFERROR(TIMEVALUE(IF(LEN(C1148)-LEN(SUBSTITUTE(C1148,":",""))=2,"","0:")&amp;C1148)*86400,"")/VALUE(SUBSTITUTE(B1148,"K","")),0)/60)&amp;":"&amp;TEXT(MOD(ROUND(IFERROR(TIMEVALUE(IF(LEN(C1148)-LEN(SUBSTITUTE(C1148,":",""))=2,"","0:")&amp;C1148)*86400,"")/VALUE(SUBSTITUTE(B1148,"K","")),0),60),"00"),""))</f>
        <v/>
      </c>
      <c r="G1148" s="21">
        <f>IF(A1148="","",IF(COUNTIF(Atletas!$A$2:$A$302,A1148)&gt;0,"Sí","No"))</f>
        <v/>
      </c>
    </row>
    <row r="1149">
      <c r="A1149" s="17" t="n"/>
      <c r="B1149" s="17" t="n"/>
      <c r="C1149" s="18" t="n"/>
      <c r="D1149" s="19" t="n"/>
      <c r="E1149" s="17" t="n"/>
      <c r="F1149" s="21">
        <f>IF(OR(B1149="",C1149=""),"",IFERROR(INT(ROUND(IFERROR(TIMEVALUE(IF(LEN(C1149)-LEN(SUBSTITUTE(C1149,":",""))=2,"","0:")&amp;C1149)*86400,"")/VALUE(SUBSTITUTE(B1149,"K","")),0)/60)&amp;":"&amp;TEXT(MOD(ROUND(IFERROR(TIMEVALUE(IF(LEN(C1149)-LEN(SUBSTITUTE(C1149,":",""))=2,"","0:")&amp;C1149)*86400,"")/VALUE(SUBSTITUTE(B1149,"K","")),0),60),"00"),""))</f>
        <v/>
      </c>
      <c r="G1149" s="21">
        <f>IF(A1149="","",IF(COUNTIF(Atletas!$A$2:$A$302,A1149)&gt;0,"Sí","No"))</f>
        <v/>
      </c>
    </row>
    <row r="1150">
      <c r="A1150" s="17" t="n"/>
      <c r="B1150" s="17" t="n"/>
      <c r="C1150" s="18" t="n"/>
      <c r="D1150" s="19" t="n"/>
      <c r="E1150" s="17" t="n"/>
      <c r="F1150" s="21">
        <f>IF(OR(B1150="",C1150=""),"",IFERROR(INT(ROUND(IFERROR(TIMEVALUE(IF(LEN(C1150)-LEN(SUBSTITUTE(C1150,":",""))=2,"","0:")&amp;C1150)*86400,"")/VALUE(SUBSTITUTE(B1150,"K","")),0)/60)&amp;":"&amp;TEXT(MOD(ROUND(IFERROR(TIMEVALUE(IF(LEN(C1150)-LEN(SUBSTITUTE(C1150,":",""))=2,"","0:")&amp;C1150)*86400,"")/VALUE(SUBSTITUTE(B1150,"K","")),0),60),"00"),""))</f>
        <v/>
      </c>
      <c r="G1150" s="21">
        <f>IF(A1150="","",IF(COUNTIF(Atletas!$A$2:$A$302,A1150)&gt;0,"Sí","No"))</f>
        <v/>
      </c>
    </row>
    <row r="1151">
      <c r="A1151" s="17" t="n"/>
      <c r="B1151" s="17" t="n"/>
      <c r="C1151" s="18" t="n"/>
      <c r="D1151" s="19" t="n"/>
      <c r="E1151" s="17" t="n"/>
      <c r="F1151" s="21">
        <f>IF(OR(B1151="",C1151=""),"",IFERROR(INT(ROUND(IFERROR(TIMEVALUE(IF(LEN(C1151)-LEN(SUBSTITUTE(C1151,":",""))=2,"","0:")&amp;C1151)*86400,"")/VALUE(SUBSTITUTE(B1151,"K","")),0)/60)&amp;":"&amp;TEXT(MOD(ROUND(IFERROR(TIMEVALUE(IF(LEN(C1151)-LEN(SUBSTITUTE(C1151,":",""))=2,"","0:")&amp;C1151)*86400,"")/VALUE(SUBSTITUTE(B1151,"K","")),0),60),"00"),""))</f>
        <v/>
      </c>
      <c r="G1151" s="21">
        <f>IF(A1151="","",IF(COUNTIF(Atletas!$A$2:$A$302,A1151)&gt;0,"Sí","No"))</f>
        <v/>
      </c>
    </row>
    <row r="1152">
      <c r="A1152" s="17" t="n"/>
      <c r="B1152" s="17" t="n"/>
      <c r="C1152" s="18" t="n"/>
      <c r="D1152" s="19" t="n"/>
      <c r="E1152" s="17" t="n"/>
      <c r="F1152" s="21">
        <f>IF(OR(B1152="",C1152=""),"",IFERROR(INT(ROUND(IFERROR(TIMEVALUE(IF(LEN(C1152)-LEN(SUBSTITUTE(C1152,":",""))=2,"","0:")&amp;C1152)*86400,"")/VALUE(SUBSTITUTE(B1152,"K","")),0)/60)&amp;":"&amp;TEXT(MOD(ROUND(IFERROR(TIMEVALUE(IF(LEN(C1152)-LEN(SUBSTITUTE(C1152,":",""))=2,"","0:")&amp;C1152)*86400,"")/VALUE(SUBSTITUTE(B1152,"K","")),0),60),"00"),""))</f>
        <v/>
      </c>
      <c r="G1152" s="21">
        <f>IF(A1152="","",IF(COUNTIF(Atletas!$A$2:$A$302,A1152)&gt;0,"Sí","No"))</f>
        <v/>
      </c>
    </row>
    <row r="1153">
      <c r="A1153" s="17" t="n"/>
      <c r="B1153" s="17" t="n"/>
      <c r="C1153" s="18" t="n"/>
      <c r="D1153" s="19" t="n"/>
      <c r="E1153" s="17" t="n"/>
      <c r="F1153" s="21">
        <f>IF(OR(B1153="",C1153=""),"",IFERROR(INT(ROUND(IFERROR(TIMEVALUE(IF(LEN(C1153)-LEN(SUBSTITUTE(C1153,":",""))=2,"","0:")&amp;C1153)*86400,"")/VALUE(SUBSTITUTE(B1153,"K","")),0)/60)&amp;":"&amp;TEXT(MOD(ROUND(IFERROR(TIMEVALUE(IF(LEN(C1153)-LEN(SUBSTITUTE(C1153,":",""))=2,"","0:")&amp;C1153)*86400,"")/VALUE(SUBSTITUTE(B1153,"K","")),0),60),"00"),""))</f>
        <v/>
      </c>
      <c r="G1153" s="21">
        <f>IF(A1153="","",IF(COUNTIF(Atletas!$A$2:$A$302,A1153)&gt;0,"Sí","No"))</f>
        <v/>
      </c>
    </row>
    <row r="1154">
      <c r="A1154" s="17" t="n"/>
      <c r="B1154" s="17" t="n"/>
      <c r="C1154" s="18" t="n"/>
      <c r="D1154" s="19" t="n"/>
      <c r="E1154" s="17" t="n"/>
      <c r="F1154" s="21">
        <f>IF(OR(B1154="",C1154=""),"",IFERROR(INT(ROUND(IFERROR(TIMEVALUE(IF(LEN(C1154)-LEN(SUBSTITUTE(C1154,":",""))=2,"","0:")&amp;C1154)*86400,"")/VALUE(SUBSTITUTE(B1154,"K","")),0)/60)&amp;":"&amp;TEXT(MOD(ROUND(IFERROR(TIMEVALUE(IF(LEN(C1154)-LEN(SUBSTITUTE(C1154,":",""))=2,"","0:")&amp;C1154)*86400,"")/VALUE(SUBSTITUTE(B1154,"K","")),0),60),"00"),""))</f>
        <v/>
      </c>
      <c r="G1154" s="21">
        <f>IF(A1154="","",IF(COUNTIF(Atletas!$A$2:$A$302,A1154)&gt;0,"Sí","No"))</f>
        <v/>
      </c>
    </row>
    <row r="1155">
      <c r="A1155" s="17" t="n"/>
      <c r="B1155" s="17" t="n"/>
      <c r="C1155" s="18" t="n"/>
      <c r="D1155" s="19" t="n"/>
      <c r="E1155" s="17" t="n"/>
      <c r="F1155" s="21">
        <f>IF(OR(B1155="",C1155=""),"",IFERROR(INT(ROUND(IFERROR(TIMEVALUE(IF(LEN(C1155)-LEN(SUBSTITUTE(C1155,":",""))=2,"","0:")&amp;C1155)*86400,"")/VALUE(SUBSTITUTE(B1155,"K","")),0)/60)&amp;":"&amp;TEXT(MOD(ROUND(IFERROR(TIMEVALUE(IF(LEN(C1155)-LEN(SUBSTITUTE(C1155,":",""))=2,"","0:")&amp;C1155)*86400,"")/VALUE(SUBSTITUTE(B1155,"K","")),0),60),"00"),""))</f>
        <v/>
      </c>
      <c r="G1155" s="21">
        <f>IF(A1155="","",IF(COUNTIF(Atletas!$A$2:$A$302,A1155)&gt;0,"Sí","No"))</f>
        <v/>
      </c>
    </row>
    <row r="1156">
      <c r="A1156" s="17" t="n"/>
      <c r="B1156" s="17" t="n"/>
      <c r="C1156" s="18" t="n"/>
      <c r="D1156" s="19" t="n"/>
      <c r="E1156" s="17" t="n"/>
      <c r="F1156" s="21">
        <f>IF(OR(B1156="",C1156=""),"",IFERROR(INT(ROUND(IFERROR(TIMEVALUE(IF(LEN(C1156)-LEN(SUBSTITUTE(C1156,":",""))=2,"","0:")&amp;C1156)*86400,"")/VALUE(SUBSTITUTE(B1156,"K","")),0)/60)&amp;":"&amp;TEXT(MOD(ROUND(IFERROR(TIMEVALUE(IF(LEN(C1156)-LEN(SUBSTITUTE(C1156,":",""))=2,"","0:")&amp;C1156)*86400,"")/VALUE(SUBSTITUTE(B1156,"K","")),0),60),"00"),""))</f>
        <v/>
      </c>
      <c r="G1156" s="21">
        <f>IF(A1156="","",IF(COUNTIF(Atletas!$A$2:$A$302,A1156)&gt;0,"Sí","No"))</f>
        <v/>
      </c>
    </row>
    <row r="1157">
      <c r="A1157" s="17" t="n"/>
      <c r="B1157" s="17" t="n"/>
      <c r="C1157" s="18" t="n"/>
      <c r="D1157" s="19" t="n"/>
      <c r="E1157" s="17" t="n"/>
      <c r="F1157" s="21">
        <f>IF(OR(B1157="",C1157=""),"",IFERROR(INT(ROUND(IFERROR(TIMEVALUE(IF(LEN(C1157)-LEN(SUBSTITUTE(C1157,":",""))=2,"","0:")&amp;C1157)*86400,"")/VALUE(SUBSTITUTE(B1157,"K","")),0)/60)&amp;":"&amp;TEXT(MOD(ROUND(IFERROR(TIMEVALUE(IF(LEN(C1157)-LEN(SUBSTITUTE(C1157,":",""))=2,"","0:")&amp;C1157)*86400,"")/VALUE(SUBSTITUTE(B1157,"K","")),0),60),"00"),""))</f>
        <v/>
      </c>
      <c r="G1157" s="21">
        <f>IF(A1157="","",IF(COUNTIF(Atletas!$A$2:$A$302,A1157)&gt;0,"Sí","No"))</f>
        <v/>
      </c>
    </row>
    <row r="1158">
      <c r="A1158" s="17" t="n"/>
      <c r="B1158" s="17" t="n"/>
      <c r="C1158" s="18" t="n"/>
      <c r="D1158" s="19" t="n"/>
      <c r="E1158" s="17" t="n"/>
      <c r="F1158" s="21">
        <f>IF(OR(B1158="",C1158=""),"",IFERROR(INT(ROUND(IFERROR(TIMEVALUE(IF(LEN(C1158)-LEN(SUBSTITUTE(C1158,":",""))=2,"","0:")&amp;C1158)*86400,"")/VALUE(SUBSTITUTE(B1158,"K","")),0)/60)&amp;":"&amp;TEXT(MOD(ROUND(IFERROR(TIMEVALUE(IF(LEN(C1158)-LEN(SUBSTITUTE(C1158,":",""))=2,"","0:")&amp;C1158)*86400,"")/VALUE(SUBSTITUTE(B1158,"K","")),0),60),"00"),""))</f>
        <v/>
      </c>
      <c r="G1158" s="21">
        <f>IF(A1158="","",IF(COUNTIF(Atletas!$A$2:$A$302,A1158)&gt;0,"Sí","No"))</f>
        <v/>
      </c>
    </row>
    <row r="1159">
      <c r="A1159" s="17" t="n"/>
      <c r="B1159" s="17" t="n"/>
      <c r="C1159" s="18" t="n"/>
      <c r="D1159" s="19" t="n"/>
      <c r="E1159" s="17" t="n"/>
      <c r="F1159" s="21">
        <f>IF(OR(B1159="",C1159=""),"",IFERROR(INT(ROUND(IFERROR(TIMEVALUE(IF(LEN(C1159)-LEN(SUBSTITUTE(C1159,":",""))=2,"","0:")&amp;C1159)*86400,"")/VALUE(SUBSTITUTE(B1159,"K","")),0)/60)&amp;":"&amp;TEXT(MOD(ROUND(IFERROR(TIMEVALUE(IF(LEN(C1159)-LEN(SUBSTITUTE(C1159,":",""))=2,"","0:")&amp;C1159)*86400,"")/VALUE(SUBSTITUTE(B1159,"K","")),0),60),"00"),""))</f>
        <v/>
      </c>
      <c r="G1159" s="21">
        <f>IF(A1159="","",IF(COUNTIF(Atletas!$A$2:$A$302,A1159)&gt;0,"Sí","No"))</f>
        <v/>
      </c>
    </row>
    <row r="1160">
      <c r="A1160" s="17" t="n"/>
      <c r="B1160" s="17" t="n"/>
      <c r="C1160" s="18" t="n"/>
      <c r="D1160" s="19" t="n"/>
      <c r="E1160" s="17" t="n"/>
      <c r="F1160" s="21">
        <f>IF(OR(B1160="",C1160=""),"",IFERROR(INT(ROUND(IFERROR(TIMEVALUE(IF(LEN(C1160)-LEN(SUBSTITUTE(C1160,":",""))=2,"","0:")&amp;C1160)*86400,"")/VALUE(SUBSTITUTE(B1160,"K","")),0)/60)&amp;":"&amp;TEXT(MOD(ROUND(IFERROR(TIMEVALUE(IF(LEN(C1160)-LEN(SUBSTITUTE(C1160,":",""))=2,"","0:")&amp;C1160)*86400,"")/VALUE(SUBSTITUTE(B1160,"K","")),0),60),"00"),""))</f>
        <v/>
      </c>
      <c r="G1160" s="21">
        <f>IF(A1160="","",IF(COUNTIF(Atletas!$A$2:$A$302,A1160)&gt;0,"Sí","No"))</f>
        <v/>
      </c>
    </row>
    <row r="1161">
      <c r="A1161" s="17" t="n"/>
      <c r="B1161" s="17" t="n"/>
      <c r="C1161" s="18" t="n"/>
      <c r="D1161" s="19" t="n"/>
      <c r="E1161" s="17" t="n"/>
      <c r="F1161" s="21">
        <f>IF(OR(B1161="",C1161=""),"",IFERROR(INT(ROUND(IFERROR(TIMEVALUE(IF(LEN(C1161)-LEN(SUBSTITUTE(C1161,":",""))=2,"","0:")&amp;C1161)*86400,"")/VALUE(SUBSTITUTE(B1161,"K","")),0)/60)&amp;":"&amp;TEXT(MOD(ROUND(IFERROR(TIMEVALUE(IF(LEN(C1161)-LEN(SUBSTITUTE(C1161,":",""))=2,"","0:")&amp;C1161)*86400,"")/VALUE(SUBSTITUTE(B1161,"K","")),0),60),"00"),""))</f>
        <v/>
      </c>
      <c r="G1161" s="21">
        <f>IF(A1161="","",IF(COUNTIF(Atletas!$A$2:$A$302,A1161)&gt;0,"Sí","No"))</f>
        <v/>
      </c>
    </row>
    <row r="1162">
      <c r="A1162" s="17" t="n"/>
      <c r="B1162" s="17" t="n"/>
      <c r="C1162" s="18" t="n"/>
      <c r="D1162" s="19" t="n"/>
      <c r="E1162" s="17" t="n"/>
      <c r="F1162" s="21">
        <f>IF(OR(B1162="",C1162=""),"",IFERROR(INT(ROUND(IFERROR(TIMEVALUE(IF(LEN(C1162)-LEN(SUBSTITUTE(C1162,":",""))=2,"","0:")&amp;C1162)*86400,"")/VALUE(SUBSTITUTE(B1162,"K","")),0)/60)&amp;":"&amp;TEXT(MOD(ROUND(IFERROR(TIMEVALUE(IF(LEN(C1162)-LEN(SUBSTITUTE(C1162,":",""))=2,"","0:")&amp;C1162)*86400,"")/VALUE(SUBSTITUTE(B1162,"K","")),0),60),"00"),""))</f>
        <v/>
      </c>
      <c r="G1162" s="21">
        <f>IF(A1162="","",IF(COUNTIF(Atletas!$A$2:$A$302,A1162)&gt;0,"Sí","No"))</f>
        <v/>
      </c>
    </row>
    <row r="1163">
      <c r="A1163" s="17" t="n"/>
      <c r="B1163" s="17" t="n"/>
      <c r="C1163" s="18" t="n"/>
      <c r="D1163" s="19" t="n"/>
      <c r="E1163" s="17" t="n"/>
      <c r="F1163" s="21">
        <f>IF(OR(B1163="",C1163=""),"",IFERROR(INT(ROUND(IFERROR(TIMEVALUE(IF(LEN(C1163)-LEN(SUBSTITUTE(C1163,":",""))=2,"","0:")&amp;C1163)*86400,"")/VALUE(SUBSTITUTE(B1163,"K","")),0)/60)&amp;":"&amp;TEXT(MOD(ROUND(IFERROR(TIMEVALUE(IF(LEN(C1163)-LEN(SUBSTITUTE(C1163,":",""))=2,"","0:")&amp;C1163)*86400,"")/VALUE(SUBSTITUTE(B1163,"K","")),0),60),"00"),""))</f>
        <v/>
      </c>
      <c r="G1163" s="21">
        <f>IF(A1163="","",IF(COUNTIF(Atletas!$A$2:$A$302,A1163)&gt;0,"Sí","No"))</f>
        <v/>
      </c>
    </row>
    <row r="1164">
      <c r="A1164" s="17" t="n"/>
      <c r="B1164" s="17" t="n"/>
      <c r="C1164" s="18" t="n"/>
      <c r="D1164" s="19" t="n"/>
      <c r="E1164" s="17" t="n"/>
      <c r="F1164" s="21">
        <f>IF(OR(B1164="",C1164=""),"",IFERROR(INT(ROUND(IFERROR(TIMEVALUE(IF(LEN(C1164)-LEN(SUBSTITUTE(C1164,":",""))=2,"","0:")&amp;C1164)*86400,"")/VALUE(SUBSTITUTE(B1164,"K","")),0)/60)&amp;":"&amp;TEXT(MOD(ROUND(IFERROR(TIMEVALUE(IF(LEN(C1164)-LEN(SUBSTITUTE(C1164,":",""))=2,"","0:")&amp;C1164)*86400,"")/VALUE(SUBSTITUTE(B1164,"K","")),0),60),"00"),""))</f>
        <v/>
      </c>
      <c r="G1164" s="21">
        <f>IF(A1164="","",IF(COUNTIF(Atletas!$A$2:$A$302,A1164)&gt;0,"Sí","No"))</f>
        <v/>
      </c>
    </row>
    <row r="1165">
      <c r="A1165" s="17" t="n"/>
      <c r="B1165" s="17" t="n"/>
      <c r="C1165" s="18" t="n"/>
      <c r="D1165" s="19" t="n"/>
      <c r="E1165" s="17" t="n"/>
      <c r="F1165" s="21">
        <f>IF(OR(B1165="",C1165=""),"",IFERROR(INT(ROUND(IFERROR(TIMEVALUE(IF(LEN(C1165)-LEN(SUBSTITUTE(C1165,":",""))=2,"","0:")&amp;C1165)*86400,"")/VALUE(SUBSTITUTE(B1165,"K","")),0)/60)&amp;":"&amp;TEXT(MOD(ROUND(IFERROR(TIMEVALUE(IF(LEN(C1165)-LEN(SUBSTITUTE(C1165,":",""))=2,"","0:")&amp;C1165)*86400,"")/VALUE(SUBSTITUTE(B1165,"K","")),0),60),"00"),""))</f>
        <v/>
      </c>
      <c r="G1165" s="21">
        <f>IF(A1165="","",IF(COUNTIF(Atletas!$A$2:$A$302,A1165)&gt;0,"Sí","No"))</f>
        <v/>
      </c>
    </row>
    <row r="1166">
      <c r="A1166" s="17" t="n"/>
      <c r="B1166" s="17" t="n"/>
      <c r="C1166" s="18" t="n"/>
      <c r="D1166" s="19" t="n"/>
      <c r="E1166" s="17" t="n"/>
      <c r="F1166" s="21">
        <f>IF(OR(B1166="",C1166=""),"",IFERROR(INT(ROUND(IFERROR(TIMEVALUE(IF(LEN(C1166)-LEN(SUBSTITUTE(C1166,":",""))=2,"","0:")&amp;C1166)*86400,"")/VALUE(SUBSTITUTE(B1166,"K","")),0)/60)&amp;":"&amp;TEXT(MOD(ROUND(IFERROR(TIMEVALUE(IF(LEN(C1166)-LEN(SUBSTITUTE(C1166,":",""))=2,"","0:")&amp;C1166)*86400,"")/VALUE(SUBSTITUTE(B1166,"K","")),0),60),"00"),""))</f>
        <v/>
      </c>
      <c r="G1166" s="21">
        <f>IF(A1166="","",IF(COUNTIF(Atletas!$A$2:$A$302,A1166)&gt;0,"Sí","No"))</f>
        <v/>
      </c>
    </row>
    <row r="1167">
      <c r="A1167" s="17" t="n"/>
      <c r="B1167" s="17" t="n"/>
      <c r="C1167" s="18" t="n"/>
      <c r="D1167" s="19" t="n"/>
      <c r="E1167" s="17" t="n"/>
      <c r="F1167" s="21">
        <f>IF(OR(B1167="",C1167=""),"",IFERROR(INT(ROUND(IFERROR(TIMEVALUE(IF(LEN(C1167)-LEN(SUBSTITUTE(C1167,":",""))=2,"","0:")&amp;C1167)*86400,"")/VALUE(SUBSTITUTE(B1167,"K","")),0)/60)&amp;":"&amp;TEXT(MOD(ROUND(IFERROR(TIMEVALUE(IF(LEN(C1167)-LEN(SUBSTITUTE(C1167,":",""))=2,"","0:")&amp;C1167)*86400,"")/VALUE(SUBSTITUTE(B1167,"K","")),0),60),"00"),""))</f>
        <v/>
      </c>
      <c r="G1167" s="21">
        <f>IF(A1167="","",IF(COUNTIF(Atletas!$A$2:$A$302,A1167)&gt;0,"Sí","No"))</f>
        <v/>
      </c>
    </row>
    <row r="1168">
      <c r="A1168" s="17" t="n"/>
      <c r="B1168" s="17" t="n"/>
      <c r="C1168" s="18" t="n"/>
      <c r="D1168" s="19" t="n"/>
      <c r="E1168" s="17" t="n"/>
      <c r="F1168" s="21">
        <f>IF(OR(B1168="",C1168=""),"",IFERROR(INT(ROUND(IFERROR(TIMEVALUE(IF(LEN(C1168)-LEN(SUBSTITUTE(C1168,":",""))=2,"","0:")&amp;C1168)*86400,"")/VALUE(SUBSTITUTE(B1168,"K","")),0)/60)&amp;":"&amp;TEXT(MOD(ROUND(IFERROR(TIMEVALUE(IF(LEN(C1168)-LEN(SUBSTITUTE(C1168,":",""))=2,"","0:")&amp;C1168)*86400,"")/VALUE(SUBSTITUTE(B1168,"K","")),0),60),"00"),""))</f>
        <v/>
      </c>
      <c r="G1168" s="21">
        <f>IF(A1168="","",IF(COUNTIF(Atletas!$A$2:$A$302,A1168)&gt;0,"Sí","No"))</f>
        <v/>
      </c>
    </row>
    <row r="1169">
      <c r="A1169" s="17" t="n"/>
      <c r="B1169" s="17" t="n"/>
      <c r="C1169" s="18" t="n"/>
      <c r="D1169" s="19" t="n"/>
      <c r="E1169" s="17" t="n"/>
      <c r="F1169" s="21">
        <f>IF(OR(B1169="",C1169=""),"",IFERROR(INT(ROUND(IFERROR(TIMEVALUE(IF(LEN(C1169)-LEN(SUBSTITUTE(C1169,":",""))=2,"","0:")&amp;C1169)*86400,"")/VALUE(SUBSTITUTE(B1169,"K","")),0)/60)&amp;":"&amp;TEXT(MOD(ROUND(IFERROR(TIMEVALUE(IF(LEN(C1169)-LEN(SUBSTITUTE(C1169,":",""))=2,"","0:")&amp;C1169)*86400,"")/VALUE(SUBSTITUTE(B1169,"K","")),0),60),"00"),""))</f>
        <v/>
      </c>
      <c r="G1169" s="21">
        <f>IF(A1169="","",IF(COUNTIF(Atletas!$A$2:$A$302,A1169)&gt;0,"Sí","No"))</f>
        <v/>
      </c>
    </row>
    <row r="1170">
      <c r="A1170" s="17" t="n"/>
      <c r="B1170" s="17" t="n"/>
      <c r="C1170" s="18" t="n"/>
      <c r="D1170" s="19" t="n"/>
      <c r="E1170" s="17" t="n"/>
      <c r="F1170" s="21">
        <f>IF(OR(B1170="",C1170=""),"",IFERROR(INT(ROUND(IFERROR(TIMEVALUE(IF(LEN(C1170)-LEN(SUBSTITUTE(C1170,":",""))=2,"","0:")&amp;C1170)*86400,"")/VALUE(SUBSTITUTE(B1170,"K","")),0)/60)&amp;":"&amp;TEXT(MOD(ROUND(IFERROR(TIMEVALUE(IF(LEN(C1170)-LEN(SUBSTITUTE(C1170,":",""))=2,"","0:")&amp;C1170)*86400,"")/VALUE(SUBSTITUTE(B1170,"K","")),0),60),"00"),""))</f>
        <v/>
      </c>
      <c r="G1170" s="21">
        <f>IF(A1170="","",IF(COUNTIF(Atletas!$A$2:$A$302,A1170)&gt;0,"Sí","No"))</f>
        <v/>
      </c>
    </row>
    <row r="1171">
      <c r="A1171" s="17" t="n"/>
      <c r="B1171" s="17" t="n"/>
      <c r="C1171" s="18" t="n"/>
      <c r="D1171" s="19" t="n"/>
      <c r="E1171" s="17" t="n"/>
      <c r="F1171" s="21">
        <f>IF(OR(B1171="",C1171=""),"",IFERROR(INT(ROUND(IFERROR(TIMEVALUE(IF(LEN(C1171)-LEN(SUBSTITUTE(C1171,":",""))=2,"","0:")&amp;C1171)*86400,"")/VALUE(SUBSTITUTE(B1171,"K","")),0)/60)&amp;":"&amp;TEXT(MOD(ROUND(IFERROR(TIMEVALUE(IF(LEN(C1171)-LEN(SUBSTITUTE(C1171,":",""))=2,"","0:")&amp;C1171)*86400,"")/VALUE(SUBSTITUTE(B1171,"K","")),0),60),"00"),""))</f>
        <v/>
      </c>
      <c r="G1171" s="21">
        <f>IF(A1171="","",IF(COUNTIF(Atletas!$A$2:$A$302,A1171)&gt;0,"Sí","No"))</f>
        <v/>
      </c>
    </row>
    <row r="1172">
      <c r="A1172" s="17" t="n"/>
      <c r="B1172" s="17" t="n"/>
      <c r="C1172" s="18" t="n"/>
      <c r="D1172" s="19" t="n"/>
      <c r="E1172" s="17" t="n"/>
      <c r="F1172" s="21">
        <f>IF(OR(B1172="",C1172=""),"",IFERROR(INT(ROUND(IFERROR(TIMEVALUE(IF(LEN(C1172)-LEN(SUBSTITUTE(C1172,":",""))=2,"","0:")&amp;C1172)*86400,"")/VALUE(SUBSTITUTE(B1172,"K","")),0)/60)&amp;":"&amp;TEXT(MOD(ROUND(IFERROR(TIMEVALUE(IF(LEN(C1172)-LEN(SUBSTITUTE(C1172,":",""))=2,"","0:")&amp;C1172)*86400,"")/VALUE(SUBSTITUTE(B1172,"K","")),0),60),"00"),""))</f>
        <v/>
      </c>
      <c r="G1172" s="21">
        <f>IF(A1172="","",IF(COUNTIF(Atletas!$A$2:$A$302,A1172)&gt;0,"Sí","No"))</f>
        <v/>
      </c>
    </row>
    <row r="1173">
      <c r="A1173" s="17" t="n"/>
      <c r="B1173" s="17" t="n"/>
      <c r="C1173" s="18" t="n"/>
      <c r="D1173" s="19" t="n"/>
      <c r="E1173" s="17" t="n"/>
      <c r="F1173" s="21">
        <f>IF(OR(B1173="",C1173=""),"",IFERROR(INT(ROUND(IFERROR(TIMEVALUE(IF(LEN(C1173)-LEN(SUBSTITUTE(C1173,":",""))=2,"","0:")&amp;C1173)*86400,"")/VALUE(SUBSTITUTE(B1173,"K","")),0)/60)&amp;":"&amp;TEXT(MOD(ROUND(IFERROR(TIMEVALUE(IF(LEN(C1173)-LEN(SUBSTITUTE(C1173,":",""))=2,"","0:")&amp;C1173)*86400,"")/VALUE(SUBSTITUTE(B1173,"K","")),0),60),"00"),""))</f>
        <v/>
      </c>
      <c r="G1173" s="21">
        <f>IF(A1173="","",IF(COUNTIF(Atletas!$A$2:$A$302,A1173)&gt;0,"Sí","No"))</f>
        <v/>
      </c>
    </row>
    <row r="1174">
      <c r="A1174" s="17" t="n"/>
      <c r="B1174" s="17" t="n"/>
      <c r="C1174" s="18" t="n"/>
      <c r="D1174" s="19" t="n"/>
      <c r="E1174" s="17" t="n"/>
      <c r="F1174" s="21">
        <f>IF(OR(B1174="",C1174=""),"",IFERROR(INT(ROUND(IFERROR(TIMEVALUE(IF(LEN(C1174)-LEN(SUBSTITUTE(C1174,":",""))=2,"","0:")&amp;C1174)*86400,"")/VALUE(SUBSTITUTE(B1174,"K","")),0)/60)&amp;":"&amp;TEXT(MOD(ROUND(IFERROR(TIMEVALUE(IF(LEN(C1174)-LEN(SUBSTITUTE(C1174,":",""))=2,"","0:")&amp;C1174)*86400,"")/VALUE(SUBSTITUTE(B1174,"K","")),0),60),"00"),""))</f>
        <v/>
      </c>
      <c r="G1174" s="21">
        <f>IF(A1174="","",IF(COUNTIF(Atletas!$A$2:$A$302,A1174)&gt;0,"Sí","No"))</f>
        <v/>
      </c>
    </row>
    <row r="1175">
      <c r="A1175" s="17" t="n"/>
      <c r="B1175" s="17" t="n"/>
      <c r="C1175" s="18" t="n"/>
      <c r="D1175" s="19" t="n"/>
      <c r="E1175" s="17" t="n"/>
      <c r="F1175" s="21">
        <f>IF(OR(B1175="",C1175=""),"",IFERROR(INT(ROUND(IFERROR(TIMEVALUE(IF(LEN(C1175)-LEN(SUBSTITUTE(C1175,":",""))=2,"","0:")&amp;C1175)*86400,"")/VALUE(SUBSTITUTE(B1175,"K","")),0)/60)&amp;":"&amp;TEXT(MOD(ROUND(IFERROR(TIMEVALUE(IF(LEN(C1175)-LEN(SUBSTITUTE(C1175,":",""))=2,"","0:")&amp;C1175)*86400,"")/VALUE(SUBSTITUTE(B1175,"K","")),0),60),"00"),""))</f>
        <v/>
      </c>
      <c r="G1175" s="21">
        <f>IF(A1175="","",IF(COUNTIF(Atletas!$A$2:$A$302,A1175)&gt;0,"Sí","No"))</f>
        <v/>
      </c>
    </row>
    <row r="1176">
      <c r="A1176" s="17" t="n"/>
      <c r="B1176" s="17" t="n"/>
      <c r="C1176" s="18" t="n"/>
      <c r="D1176" s="19" t="n"/>
      <c r="E1176" s="17" t="n"/>
      <c r="F1176" s="21">
        <f>IF(OR(B1176="",C1176=""),"",IFERROR(INT(ROUND(IFERROR(TIMEVALUE(IF(LEN(C1176)-LEN(SUBSTITUTE(C1176,":",""))=2,"","0:")&amp;C1176)*86400,"")/VALUE(SUBSTITUTE(B1176,"K","")),0)/60)&amp;":"&amp;TEXT(MOD(ROUND(IFERROR(TIMEVALUE(IF(LEN(C1176)-LEN(SUBSTITUTE(C1176,":",""))=2,"","0:")&amp;C1176)*86400,"")/VALUE(SUBSTITUTE(B1176,"K","")),0),60),"00"),""))</f>
        <v/>
      </c>
      <c r="G1176" s="21">
        <f>IF(A1176="","",IF(COUNTIF(Atletas!$A$2:$A$302,A1176)&gt;0,"Sí","No"))</f>
        <v/>
      </c>
    </row>
    <row r="1177">
      <c r="A1177" s="17" t="n"/>
      <c r="B1177" s="17" t="n"/>
      <c r="C1177" s="18" t="n"/>
      <c r="D1177" s="19" t="n"/>
      <c r="E1177" s="17" t="n"/>
      <c r="F1177" s="21">
        <f>IF(OR(B1177="",C1177=""),"",IFERROR(INT(ROUND(IFERROR(TIMEVALUE(IF(LEN(C1177)-LEN(SUBSTITUTE(C1177,":",""))=2,"","0:")&amp;C1177)*86400,"")/VALUE(SUBSTITUTE(B1177,"K","")),0)/60)&amp;":"&amp;TEXT(MOD(ROUND(IFERROR(TIMEVALUE(IF(LEN(C1177)-LEN(SUBSTITUTE(C1177,":",""))=2,"","0:")&amp;C1177)*86400,"")/VALUE(SUBSTITUTE(B1177,"K","")),0),60),"00"),""))</f>
        <v/>
      </c>
      <c r="G1177" s="21">
        <f>IF(A1177="","",IF(COUNTIF(Atletas!$A$2:$A$302,A1177)&gt;0,"Sí","No"))</f>
        <v/>
      </c>
    </row>
    <row r="1178">
      <c r="A1178" s="17" t="n"/>
      <c r="B1178" s="17" t="n"/>
      <c r="C1178" s="18" t="n"/>
      <c r="D1178" s="19" t="n"/>
      <c r="E1178" s="17" t="n"/>
      <c r="F1178" s="21">
        <f>IF(OR(B1178="",C1178=""),"",IFERROR(INT(ROUND(IFERROR(TIMEVALUE(IF(LEN(C1178)-LEN(SUBSTITUTE(C1178,":",""))=2,"","0:")&amp;C1178)*86400,"")/VALUE(SUBSTITUTE(B1178,"K","")),0)/60)&amp;":"&amp;TEXT(MOD(ROUND(IFERROR(TIMEVALUE(IF(LEN(C1178)-LEN(SUBSTITUTE(C1178,":",""))=2,"","0:")&amp;C1178)*86400,"")/VALUE(SUBSTITUTE(B1178,"K","")),0),60),"00"),""))</f>
        <v/>
      </c>
      <c r="G1178" s="21">
        <f>IF(A1178="","",IF(COUNTIF(Atletas!$A$2:$A$302,A1178)&gt;0,"Sí","No"))</f>
        <v/>
      </c>
    </row>
    <row r="1179">
      <c r="A1179" s="17" t="n"/>
      <c r="B1179" s="17" t="n"/>
      <c r="C1179" s="18" t="n"/>
      <c r="D1179" s="19" t="n"/>
      <c r="E1179" s="17" t="n"/>
      <c r="F1179" s="21">
        <f>IF(OR(B1179="",C1179=""),"",IFERROR(INT(ROUND(IFERROR(TIMEVALUE(IF(LEN(C1179)-LEN(SUBSTITUTE(C1179,":",""))=2,"","0:")&amp;C1179)*86400,"")/VALUE(SUBSTITUTE(B1179,"K","")),0)/60)&amp;":"&amp;TEXT(MOD(ROUND(IFERROR(TIMEVALUE(IF(LEN(C1179)-LEN(SUBSTITUTE(C1179,":",""))=2,"","0:")&amp;C1179)*86400,"")/VALUE(SUBSTITUTE(B1179,"K","")),0),60),"00"),""))</f>
        <v/>
      </c>
      <c r="G1179" s="21">
        <f>IF(A1179="","",IF(COUNTIF(Atletas!$A$2:$A$302,A1179)&gt;0,"Sí","No"))</f>
        <v/>
      </c>
    </row>
    <row r="1180">
      <c r="A1180" s="17" t="n"/>
      <c r="B1180" s="17" t="n"/>
      <c r="C1180" s="18" t="n"/>
      <c r="D1180" s="19" t="n"/>
      <c r="E1180" s="17" t="n"/>
      <c r="F1180" s="21">
        <f>IF(OR(B1180="",C1180=""),"",IFERROR(INT(ROUND(IFERROR(TIMEVALUE(IF(LEN(C1180)-LEN(SUBSTITUTE(C1180,":",""))=2,"","0:")&amp;C1180)*86400,"")/VALUE(SUBSTITUTE(B1180,"K","")),0)/60)&amp;":"&amp;TEXT(MOD(ROUND(IFERROR(TIMEVALUE(IF(LEN(C1180)-LEN(SUBSTITUTE(C1180,":",""))=2,"","0:")&amp;C1180)*86400,"")/VALUE(SUBSTITUTE(B1180,"K","")),0),60),"00"),""))</f>
        <v/>
      </c>
      <c r="G1180" s="21">
        <f>IF(A1180="","",IF(COUNTIF(Atletas!$A$2:$A$302,A1180)&gt;0,"Sí","No"))</f>
        <v/>
      </c>
    </row>
    <row r="1181">
      <c r="A1181" s="17" t="n"/>
      <c r="B1181" s="17" t="n"/>
      <c r="C1181" s="18" t="n"/>
      <c r="D1181" s="19" t="n"/>
      <c r="E1181" s="17" t="n"/>
      <c r="F1181" s="21">
        <f>IF(OR(B1181="",C1181=""),"",IFERROR(INT(ROUND(IFERROR(TIMEVALUE(IF(LEN(C1181)-LEN(SUBSTITUTE(C1181,":",""))=2,"","0:")&amp;C1181)*86400,"")/VALUE(SUBSTITUTE(B1181,"K","")),0)/60)&amp;":"&amp;TEXT(MOD(ROUND(IFERROR(TIMEVALUE(IF(LEN(C1181)-LEN(SUBSTITUTE(C1181,":",""))=2,"","0:")&amp;C1181)*86400,"")/VALUE(SUBSTITUTE(B1181,"K","")),0),60),"00"),""))</f>
        <v/>
      </c>
      <c r="G1181" s="21">
        <f>IF(A1181="","",IF(COUNTIF(Atletas!$A$2:$A$302,A1181)&gt;0,"Sí","No"))</f>
        <v/>
      </c>
    </row>
    <row r="1182">
      <c r="A1182" s="17" t="n"/>
      <c r="B1182" s="17" t="n"/>
      <c r="C1182" s="18" t="n"/>
      <c r="D1182" s="19" t="n"/>
      <c r="E1182" s="17" t="n"/>
      <c r="F1182" s="21">
        <f>IF(OR(B1182="",C1182=""),"",IFERROR(INT(ROUND(IFERROR(TIMEVALUE(IF(LEN(C1182)-LEN(SUBSTITUTE(C1182,":",""))=2,"","0:")&amp;C1182)*86400,"")/VALUE(SUBSTITUTE(B1182,"K","")),0)/60)&amp;":"&amp;TEXT(MOD(ROUND(IFERROR(TIMEVALUE(IF(LEN(C1182)-LEN(SUBSTITUTE(C1182,":",""))=2,"","0:")&amp;C1182)*86400,"")/VALUE(SUBSTITUTE(B1182,"K","")),0),60),"00"),""))</f>
        <v/>
      </c>
      <c r="G1182" s="21">
        <f>IF(A1182="","",IF(COUNTIF(Atletas!$A$2:$A$302,A1182)&gt;0,"Sí","No"))</f>
        <v/>
      </c>
    </row>
    <row r="1183">
      <c r="A1183" s="17" t="n"/>
      <c r="B1183" s="17" t="n"/>
      <c r="C1183" s="18" t="n"/>
      <c r="D1183" s="19" t="n"/>
      <c r="E1183" s="17" t="n"/>
      <c r="F1183" s="21">
        <f>IF(OR(B1183="",C1183=""),"",IFERROR(INT(ROUND(IFERROR(TIMEVALUE(IF(LEN(C1183)-LEN(SUBSTITUTE(C1183,":",""))=2,"","0:")&amp;C1183)*86400,"")/VALUE(SUBSTITUTE(B1183,"K","")),0)/60)&amp;":"&amp;TEXT(MOD(ROUND(IFERROR(TIMEVALUE(IF(LEN(C1183)-LEN(SUBSTITUTE(C1183,":",""))=2,"","0:")&amp;C1183)*86400,"")/VALUE(SUBSTITUTE(B1183,"K","")),0),60),"00"),""))</f>
        <v/>
      </c>
      <c r="G1183" s="21">
        <f>IF(A1183="","",IF(COUNTIF(Atletas!$A$2:$A$302,A1183)&gt;0,"Sí","No"))</f>
        <v/>
      </c>
    </row>
    <row r="1184">
      <c r="A1184" s="17" t="n"/>
      <c r="B1184" s="17" t="n"/>
      <c r="C1184" s="18" t="n"/>
      <c r="D1184" s="19" t="n"/>
      <c r="E1184" s="17" t="n"/>
      <c r="F1184" s="21">
        <f>IF(OR(B1184="",C1184=""),"",IFERROR(INT(ROUND(IFERROR(TIMEVALUE(IF(LEN(C1184)-LEN(SUBSTITUTE(C1184,":",""))=2,"","0:")&amp;C1184)*86400,"")/VALUE(SUBSTITUTE(B1184,"K","")),0)/60)&amp;":"&amp;TEXT(MOD(ROUND(IFERROR(TIMEVALUE(IF(LEN(C1184)-LEN(SUBSTITUTE(C1184,":",""))=2,"","0:")&amp;C1184)*86400,"")/VALUE(SUBSTITUTE(B1184,"K","")),0),60),"00"),""))</f>
        <v/>
      </c>
      <c r="G1184" s="21">
        <f>IF(A1184="","",IF(COUNTIF(Atletas!$A$2:$A$302,A1184)&gt;0,"Sí","No"))</f>
        <v/>
      </c>
    </row>
    <row r="1185">
      <c r="A1185" s="17" t="n"/>
      <c r="B1185" s="17" t="n"/>
      <c r="C1185" s="18" t="n"/>
      <c r="D1185" s="19" t="n"/>
      <c r="E1185" s="17" t="n"/>
      <c r="F1185" s="21">
        <f>IF(OR(B1185="",C1185=""),"",IFERROR(INT(ROUND(IFERROR(TIMEVALUE(IF(LEN(C1185)-LEN(SUBSTITUTE(C1185,":",""))=2,"","0:")&amp;C1185)*86400,"")/VALUE(SUBSTITUTE(B1185,"K","")),0)/60)&amp;":"&amp;TEXT(MOD(ROUND(IFERROR(TIMEVALUE(IF(LEN(C1185)-LEN(SUBSTITUTE(C1185,":",""))=2,"","0:")&amp;C1185)*86400,"")/VALUE(SUBSTITUTE(B1185,"K","")),0),60),"00"),""))</f>
        <v/>
      </c>
      <c r="G1185" s="21">
        <f>IF(A1185="","",IF(COUNTIF(Atletas!$A$2:$A$302,A1185)&gt;0,"Sí","No"))</f>
        <v/>
      </c>
    </row>
    <row r="1186">
      <c r="A1186" s="17" t="n"/>
      <c r="B1186" s="17" t="n"/>
      <c r="C1186" s="18" t="n"/>
      <c r="D1186" s="19" t="n"/>
      <c r="E1186" s="17" t="n"/>
      <c r="F1186" s="21">
        <f>IF(OR(B1186="",C1186=""),"",IFERROR(INT(ROUND(IFERROR(TIMEVALUE(IF(LEN(C1186)-LEN(SUBSTITUTE(C1186,":",""))=2,"","0:")&amp;C1186)*86400,"")/VALUE(SUBSTITUTE(B1186,"K","")),0)/60)&amp;":"&amp;TEXT(MOD(ROUND(IFERROR(TIMEVALUE(IF(LEN(C1186)-LEN(SUBSTITUTE(C1186,":",""))=2,"","0:")&amp;C1186)*86400,"")/VALUE(SUBSTITUTE(B1186,"K","")),0),60),"00"),""))</f>
        <v/>
      </c>
      <c r="G1186" s="21">
        <f>IF(A1186="","",IF(COUNTIF(Atletas!$A$2:$A$302,A1186)&gt;0,"Sí","No"))</f>
        <v/>
      </c>
    </row>
    <row r="1187">
      <c r="A1187" s="17" t="n"/>
      <c r="B1187" s="17" t="n"/>
      <c r="C1187" s="18" t="n"/>
      <c r="D1187" s="19" t="n"/>
      <c r="E1187" s="17" t="n"/>
      <c r="F1187" s="21">
        <f>IF(OR(B1187="",C1187=""),"",IFERROR(INT(ROUND(IFERROR(TIMEVALUE(IF(LEN(C1187)-LEN(SUBSTITUTE(C1187,":",""))=2,"","0:")&amp;C1187)*86400,"")/VALUE(SUBSTITUTE(B1187,"K","")),0)/60)&amp;":"&amp;TEXT(MOD(ROUND(IFERROR(TIMEVALUE(IF(LEN(C1187)-LEN(SUBSTITUTE(C1187,":",""))=2,"","0:")&amp;C1187)*86400,"")/VALUE(SUBSTITUTE(B1187,"K","")),0),60),"00"),""))</f>
        <v/>
      </c>
      <c r="G1187" s="21">
        <f>IF(A1187="","",IF(COUNTIF(Atletas!$A$2:$A$302,A1187)&gt;0,"Sí","No"))</f>
        <v/>
      </c>
    </row>
    <row r="1188">
      <c r="A1188" s="17" t="n"/>
      <c r="B1188" s="17" t="n"/>
      <c r="C1188" s="18" t="n"/>
      <c r="D1188" s="19" t="n"/>
      <c r="E1188" s="17" t="n"/>
      <c r="F1188" s="21">
        <f>IF(OR(B1188="",C1188=""),"",IFERROR(INT(ROUND(IFERROR(TIMEVALUE(IF(LEN(C1188)-LEN(SUBSTITUTE(C1188,":",""))=2,"","0:")&amp;C1188)*86400,"")/VALUE(SUBSTITUTE(B1188,"K","")),0)/60)&amp;":"&amp;TEXT(MOD(ROUND(IFERROR(TIMEVALUE(IF(LEN(C1188)-LEN(SUBSTITUTE(C1188,":",""))=2,"","0:")&amp;C1188)*86400,"")/VALUE(SUBSTITUTE(B1188,"K","")),0),60),"00"),""))</f>
        <v/>
      </c>
      <c r="G1188" s="21">
        <f>IF(A1188="","",IF(COUNTIF(Atletas!$A$2:$A$302,A1188)&gt;0,"Sí","No"))</f>
        <v/>
      </c>
    </row>
    <row r="1189">
      <c r="A1189" s="17" t="n"/>
      <c r="B1189" s="17" t="n"/>
      <c r="C1189" s="18" t="n"/>
      <c r="D1189" s="19" t="n"/>
      <c r="E1189" s="17" t="n"/>
      <c r="F1189" s="21">
        <f>IF(OR(B1189="",C1189=""),"",IFERROR(INT(ROUND(IFERROR(TIMEVALUE(IF(LEN(C1189)-LEN(SUBSTITUTE(C1189,":",""))=2,"","0:")&amp;C1189)*86400,"")/VALUE(SUBSTITUTE(B1189,"K","")),0)/60)&amp;":"&amp;TEXT(MOD(ROUND(IFERROR(TIMEVALUE(IF(LEN(C1189)-LEN(SUBSTITUTE(C1189,":",""))=2,"","0:")&amp;C1189)*86400,"")/VALUE(SUBSTITUTE(B1189,"K","")),0),60),"00"),""))</f>
        <v/>
      </c>
      <c r="G1189" s="21">
        <f>IF(A1189="","",IF(COUNTIF(Atletas!$A$2:$A$302,A1189)&gt;0,"Sí","No"))</f>
        <v/>
      </c>
    </row>
    <row r="1190">
      <c r="A1190" s="17" t="n"/>
      <c r="B1190" s="17" t="n"/>
      <c r="C1190" s="18" t="n"/>
      <c r="D1190" s="19" t="n"/>
      <c r="E1190" s="17" t="n"/>
      <c r="F1190" s="21">
        <f>IF(OR(B1190="",C1190=""),"",IFERROR(INT(ROUND(IFERROR(TIMEVALUE(IF(LEN(C1190)-LEN(SUBSTITUTE(C1190,":",""))=2,"","0:")&amp;C1190)*86400,"")/VALUE(SUBSTITUTE(B1190,"K","")),0)/60)&amp;":"&amp;TEXT(MOD(ROUND(IFERROR(TIMEVALUE(IF(LEN(C1190)-LEN(SUBSTITUTE(C1190,":",""))=2,"","0:")&amp;C1190)*86400,"")/VALUE(SUBSTITUTE(B1190,"K","")),0),60),"00"),""))</f>
        <v/>
      </c>
      <c r="G1190" s="21">
        <f>IF(A1190="","",IF(COUNTIF(Atletas!$A$2:$A$302,A1190)&gt;0,"Sí","No"))</f>
        <v/>
      </c>
    </row>
    <row r="1191">
      <c r="A1191" s="17" t="n"/>
      <c r="B1191" s="17" t="n"/>
      <c r="C1191" s="18" t="n"/>
      <c r="D1191" s="19" t="n"/>
      <c r="E1191" s="17" t="n"/>
      <c r="F1191" s="21">
        <f>IF(OR(B1191="",C1191=""),"",IFERROR(INT(ROUND(IFERROR(TIMEVALUE(IF(LEN(C1191)-LEN(SUBSTITUTE(C1191,":",""))=2,"","0:")&amp;C1191)*86400,"")/VALUE(SUBSTITUTE(B1191,"K","")),0)/60)&amp;":"&amp;TEXT(MOD(ROUND(IFERROR(TIMEVALUE(IF(LEN(C1191)-LEN(SUBSTITUTE(C1191,":",""))=2,"","0:")&amp;C1191)*86400,"")/VALUE(SUBSTITUTE(B1191,"K","")),0),60),"00"),""))</f>
        <v/>
      </c>
      <c r="G1191" s="21">
        <f>IF(A1191="","",IF(COUNTIF(Atletas!$A$2:$A$302,A1191)&gt;0,"Sí","No"))</f>
        <v/>
      </c>
    </row>
    <row r="1192">
      <c r="A1192" s="17" t="n"/>
      <c r="B1192" s="17" t="n"/>
      <c r="C1192" s="18" t="n"/>
      <c r="D1192" s="19" t="n"/>
      <c r="E1192" s="17" t="n"/>
      <c r="F1192" s="21">
        <f>IF(OR(B1192="",C1192=""),"",IFERROR(INT(ROUND(IFERROR(TIMEVALUE(IF(LEN(C1192)-LEN(SUBSTITUTE(C1192,":",""))=2,"","0:")&amp;C1192)*86400,"")/VALUE(SUBSTITUTE(B1192,"K","")),0)/60)&amp;":"&amp;TEXT(MOD(ROUND(IFERROR(TIMEVALUE(IF(LEN(C1192)-LEN(SUBSTITUTE(C1192,":",""))=2,"","0:")&amp;C1192)*86400,"")/VALUE(SUBSTITUTE(B1192,"K","")),0),60),"00"),""))</f>
        <v/>
      </c>
      <c r="G1192" s="21">
        <f>IF(A1192="","",IF(COUNTIF(Atletas!$A$2:$A$302,A1192)&gt;0,"Sí","No"))</f>
        <v/>
      </c>
    </row>
    <row r="1193">
      <c r="A1193" s="17" t="n"/>
      <c r="B1193" s="17" t="n"/>
      <c r="C1193" s="18" t="n"/>
      <c r="D1193" s="19" t="n"/>
      <c r="E1193" s="17" t="n"/>
      <c r="F1193" s="21">
        <f>IF(OR(B1193="",C1193=""),"",IFERROR(INT(ROUND(IFERROR(TIMEVALUE(IF(LEN(C1193)-LEN(SUBSTITUTE(C1193,":",""))=2,"","0:")&amp;C1193)*86400,"")/VALUE(SUBSTITUTE(B1193,"K","")),0)/60)&amp;":"&amp;TEXT(MOD(ROUND(IFERROR(TIMEVALUE(IF(LEN(C1193)-LEN(SUBSTITUTE(C1193,":",""))=2,"","0:")&amp;C1193)*86400,"")/VALUE(SUBSTITUTE(B1193,"K","")),0),60),"00"),""))</f>
        <v/>
      </c>
      <c r="G1193" s="21">
        <f>IF(A1193="","",IF(COUNTIF(Atletas!$A$2:$A$302,A1193)&gt;0,"Sí","No"))</f>
        <v/>
      </c>
    </row>
    <row r="1194">
      <c r="A1194" s="17" t="n"/>
      <c r="B1194" s="17" t="n"/>
      <c r="C1194" s="18" t="n"/>
      <c r="D1194" s="19" t="n"/>
      <c r="E1194" s="17" t="n"/>
      <c r="F1194" s="21">
        <f>IF(OR(B1194="",C1194=""),"",IFERROR(INT(ROUND(IFERROR(TIMEVALUE(IF(LEN(C1194)-LEN(SUBSTITUTE(C1194,":",""))=2,"","0:")&amp;C1194)*86400,"")/VALUE(SUBSTITUTE(B1194,"K","")),0)/60)&amp;":"&amp;TEXT(MOD(ROUND(IFERROR(TIMEVALUE(IF(LEN(C1194)-LEN(SUBSTITUTE(C1194,":",""))=2,"","0:")&amp;C1194)*86400,"")/VALUE(SUBSTITUTE(B1194,"K","")),0),60),"00"),""))</f>
        <v/>
      </c>
      <c r="G1194" s="21">
        <f>IF(A1194="","",IF(COUNTIF(Atletas!$A$2:$A$302,A1194)&gt;0,"Sí","No"))</f>
        <v/>
      </c>
    </row>
    <row r="1195">
      <c r="A1195" s="17" t="n"/>
      <c r="B1195" s="17" t="n"/>
      <c r="C1195" s="18" t="n"/>
      <c r="D1195" s="19" t="n"/>
      <c r="E1195" s="17" t="n"/>
      <c r="F1195" s="21">
        <f>IF(OR(B1195="",C1195=""),"",IFERROR(INT(ROUND(IFERROR(TIMEVALUE(IF(LEN(C1195)-LEN(SUBSTITUTE(C1195,":",""))=2,"","0:")&amp;C1195)*86400,"")/VALUE(SUBSTITUTE(B1195,"K","")),0)/60)&amp;":"&amp;TEXT(MOD(ROUND(IFERROR(TIMEVALUE(IF(LEN(C1195)-LEN(SUBSTITUTE(C1195,":",""))=2,"","0:")&amp;C1195)*86400,"")/VALUE(SUBSTITUTE(B1195,"K","")),0),60),"00"),""))</f>
        <v/>
      </c>
      <c r="G1195" s="21">
        <f>IF(A1195="","",IF(COUNTIF(Atletas!$A$2:$A$302,A1195)&gt;0,"Sí","No"))</f>
        <v/>
      </c>
    </row>
    <row r="1196">
      <c r="A1196" s="17" t="n"/>
      <c r="B1196" s="17" t="n"/>
      <c r="C1196" s="18" t="n"/>
      <c r="D1196" s="19" t="n"/>
      <c r="E1196" s="17" t="n"/>
      <c r="F1196" s="21">
        <f>IF(OR(B1196="",C1196=""),"",IFERROR(INT(ROUND(IFERROR(TIMEVALUE(IF(LEN(C1196)-LEN(SUBSTITUTE(C1196,":",""))=2,"","0:")&amp;C1196)*86400,"")/VALUE(SUBSTITUTE(B1196,"K","")),0)/60)&amp;":"&amp;TEXT(MOD(ROUND(IFERROR(TIMEVALUE(IF(LEN(C1196)-LEN(SUBSTITUTE(C1196,":",""))=2,"","0:")&amp;C1196)*86400,"")/VALUE(SUBSTITUTE(B1196,"K","")),0),60),"00"),""))</f>
        <v/>
      </c>
      <c r="G1196" s="21">
        <f>IF(A1196="","",IF(COUNTIF(Atletas!$A$2:$A$302,A1196)&gt;0,"Sí","No"))</f>
        <v/>
      </c>
    </row>
    <row r="1197">
      <c r="A1197" s="17" t="n"/>
      <c r="B1197" s="17" t="n"/>
      <c r="C1197" s="18" t="n"/>
      <c r="D1197" s="19" t="n"/>
      <c r="E1197" s="17" t="n"/>
      <c r="F1197" s="21">
        <f>IF(OR(B1197="",C1197=""),"",IFERROR(INT(ROUND(IFERROR(TIMEVALUE(IF(LEN(C1197)-LEN(SUBSTITUTE(C1197,":",""))=2,"","0:")&amp;C1197)*86400,"")/VALUE(SUBSTITUTE(B1197,"K","")),0)/60)&amp;":"&amp;TEXT(MOD(ROUND(IFERROR(TIMEVALUE(IF(LEN(C1197)-LEN(SUBSTITUTE(C1197,":",""))=2,"","0:")&amp;C1197)*86400,"")/VALUE(SUBSTITUTE(B1197,"K","")),0),60),"00"),""))</f>
        <v/>
      </c>
      <c r="G1197" s="21">
        <f>IF(A1197="","",IF(COUNTIF(Atletas!$A$2:$A$302,A1197)&gt;0,"Sí","No"))</f>
        <v/>
      </c>
    </row>
    <row r="1198">
      <c r="A1198" s="17" t="n"/>
      <c r="B1198" s="17" t="n"/>
      <c r="C1198" s="18" t="n"/>
      <c r="D1198" s="19" t="n"/>
      <c r="E1198" s="17" t="n"/>
      <c r="F1198" s="21">
        <f>IF(OR(B1198="",C1198=""),"",IFERROR(INT(ROUND(IFERROR(TIMEVALUE(IF(LEN(C1198)-LEN(SUBSTITUTE(C1198,":",""))=2,"","0:")&amp;C1198)*86400,"")/VALUE(SUBSTITUTE(B1198,"K","")),0)/60)&amp;":"&amp;TEXT(MOD(ROUND(IFERROR(TIMEVALUE(IF(LEN(C1198)-LEN(SUBSTITUTE(C1198,":",""))=2,"","0:")&amp;C1198)*86400,"")/VALUE(SUBSTITUTE(B1198,"K","")),0),60),"00"),""))</f>
        <v/>
      </c>
      <c r="G1198" s="21">
        <f>IF(A1198="","",IF(COUNTIF(Atletas!$A$2:$A$302,A1198)&gt;0,"Sí","No"))</f>
        <v/>
      </c>
    </row>
    <row r="1199">
      <c r="A1199" s="17" t="n"/>
      <c r="B1199" s="17" t="n"/>
      <c r="C1199" s="18" t="n"/>
      <c r="D1199" s="19" t="n"/>
      <c r="E1199" s="17" t="n"/>
      <c r="F1199" s="21">
        <f>IF(OR(B1199="",C1199=""),"",IFERROR(INT(ROUND(IFERROR(TIMEVALUE(IF(LEN(C1199)-LEN(SUBSTITUTE(C1199,":",""))=2,"","0:")&amp;C1199)*86400,"")/VALUE(SUBSTITUTE(B1199,"K","")),0)/60)&amp;":"&amp;TEXT(MOD(ROUND(IFERROR(TIMEVALUE(IF(LEN(C1199)-LEN(SUBSTITUTE(C1199,":",""))=2,"","0:")&amp;C1199)*86400,"")/VALUE(SUBSTITUTE(B1199,"K","")),0),60),"00"),""))</f>
        <v/>
      </c>
      <c r="G1199" s="21">
        <f>IF(A1199="","",IF(COUNTIF(Atletas!$A$2:$A$302,A1199)&gt;0,"Sí","No"))</f>
        <v/>
      </c>
    </row>
    <row r="1200">
      <c r="A1200" s="17" t="n"/>
      <c r="B1200" s="17" t="n"/>
      <c r="C1200" s="18" t="n"/>
      <c r="D1200" s="19" t="n"/>
      <c r="E1200" s="17" t="n"/>
      <c r="F1200" s="21">
        <f>IF(OR(B1200="",C1200=""),"",IFERROR(INT(ROUND(IFERROR(TIMEVALUE(IF(LEN(C1200)-LEN(SUBSTITUTE(C1200,":",""))=2,"","0:")&amp;C1200)*86400,"")/VALUE(SUBSTITUTE(B1200,"K","")),0)/60)&amp;":"&amp;TEXT(MOD(ROUND(IFERROR(TIMEVALUE(IF(LEN(C1200)-LEN(SUBSTITUTE(C1200,":",""))=2,"","0:")&amp;C1200)*86400,"")/VALUE(SUBSTITUTE(B1200,"K","")),0),60),"00"),""))</f>
        <v/>
      </c>
      <c r="G1200" s="21">
        <f>IF(A1200="","",IF(COUNTIF(Atletas!$A$2:$A$302,A1200)&gt;0,"Sí","No"))</f>
        <v/>
      </c>
    </row>
    <row r="1201">
      <c r="A1201" s="17" t="n"/>
      <c r="B1201" s="17" t="n"/>
      <c r="C1201" s="18" t="n"/>
      <c r="D1201" s="19" t="n"/>
      <c r="E1201" s="17" t="n"/>
      <c r="F1201" s="21">
        <f>IF(OR(B1201="",C1201=""),"",IFERROR(INT(ROUND(IFERROR(TIMEVALUE(IF(LEN(C1201)-LEN(SUBSTITUTE(C1201,":",""))=2,"","0:")&amp;C1201)*86400,"")/VALUE(SUBSTITUTE(B1201,"K","")),0)/60)&amp;":"&amp;TEXT(MOD(ROUND(IFERROR(TIMEVALUE(IF(LEN(C1201)-LEN(SUBSTITUTE(C1201,":",""))=2,"","0:")&amp;C1201)*86400,"")/VALUE(SUBSTITUTE(B1201,"K","")),0),60),"00"),""))</f>
        <v/>
      </c>
      <c r="G1201" s="21">
        <f>IF(A1201="","",IF(COUNTIF(Atletas!$A$2:$A$302,A1201)&gt;0,"Sí","No"))</f>
        <v/>
      </c>
    </row>
    <row r="1202">
      <c r="A1202" s="17" t="n"/>
      <c r="B1202" s="17" t="n"/>
      <c r="C1202" s="18" t="n"/>
      <c r="D1202" s="19" t="n"/>
      <c r="E1202" s="17" t="n"/>
      <c r="F1202" s="21">
        <f>IF(OR(B1202="",C1202=""),"",IFERROR(INT(ROUND(IFERROR(TIMEVALUE(IF(LEN(C1202)-LEN(SUBSTITUTE(C1202,":",""))=2,"","0:")&amp;C1202)*86400,"")/VALUE(SUBSTITUTE(B1202,"K","")),0)/60)&amp;":"&amp;TEXT(MOD(ROUND(IFERROR(TIMEVALUE(IF(LEN(C1202)-LEN(SUBSTITUTE(C1202,":",""))=2,"","0:")&amp;C1202)*86400,"")/VALUE(SUBSTITUTE(B1202,"K","")),0),60),"00"),""))</f>
        <v/>
      </c>
      <c r="G1202" s="21">
        <f>IF(A1202="","",IF(COUNTIF(Atletas!$A$2:$A$302,A1202)&gt;0,"Sí","No"))</f>
        <v/>
      </c>
    </row>
    <row r="1203">
      <c r="A1203" s="17" t="n"/>
      <c r="B1203" s="17" t="n"/>
      <c r="C1203" s="18" t="n"/>
      <c r="D1203" s="19" t="n"/>
      <c r="E1203" s="17" t="n"/>
      <c r="F1203" s="21">
        <f>IF(OR(B1203="",C1203=""),"",IFERROR(INT(ROUND(IFERROR(TIMEVALUE(IF(LEN(C1203)-LEN(SUBSTITUTE(C1203,":",""))=2,"","0:")&amp;C1203)*86400,"")/VALUE(SUBSTITUTE(B1203,"K","")),0)/60)&amp;":"&amp;TEXT(MOD(ROUND(IFERROR(TIMEVALUE(IF(LEN(C1203)-LEN(SUBSTITUTE(C1203,":",""))=2,"","0:")&amp;C1203)*86400,"")/VALUE(SUBSTITUTE(B1203,"K","")),0),60),"00"),""))</f>
        <v/>
      </c>
      <c r="G1203" s="21">
        <f>IF(A1203="","",IF(COUNTIF(Atletas!$A$2:$A$302,A1203)&gt;0,"Sí","No"))</f>
        <v/>
      </c>
    </row>
    <row r="1204">
      <c r="A1204" s="17" t="n"/>
      <c r="B1204" s="17" t="n"/>
      <c r="C1204" s="18" t="n"/>
      <c r="D1204" s="19" t="n"/>
      <c r="E1204" s="17" t="n"/>
      <c r="F1204" s="21">
        <f>IF(OR(B1204="",C1204=""),"",IFERROR(INT(ROUND(IFERROR(TIMEVALUE(IF(LEN(C1204)-LEN(SUBSTITUTE(C1204,":",""))=2,"","0:")&amp;C1204)*86400,"")/VALUE(SUBSTITUTE(B1204,"K","")),0)/60)&amp;":"&amp;TEXT(MOD(ROUND(IFERROR(TIMEVALUE(IF(LEN(C1204)-LEN(SUBSTITUTE(C1204,":",""))=2,"","0:")&amp;C1204)*86400,"")/VALUE(SUBSTITUTE(B1204,"K","")),0),60),"00"),""))</f>
        <v/>
      </c>
      <c r="G1204" s="21">
        <f>IF(A1204="","",IF(COUNTIF(Atletas!$A$2:$A$302,A1204)&gt;0,"Sí","No"))</f>
        <v/>
      </c>
    </row>
    <row r="1205">
      <c r="A1205" s="17" t="n"/>
      <c r="B1205" s="17" t="n"/>
      <c r="C1205" s="18" t="n"/>
      <c r="D1205" s="19" t="n"/>
      <c r="E1205" s="17" t="n"/>
      <c r="F1205" s="21">
        <f>IF(OR(B1205="",C1205=""),"",IFERROR(INT(ROUND(IFERROR(TIMEVALUE(IF(LEN(C1205)-LEN(SUBSTITUTE(C1205,":",""))=2,"","0:")&amp;C1205)*86400,"")/VALUE(SUBSTITUTE(B1205,"K","")),0)/60)&amp;":"&amp;TEXT(MOD(ROUND(IFERROR(TIMEVALUE(IF(LEN(C1205)-LEN(SUBSTITUTE(C1205,":",""))=2,"","0:")&amp;C1205)*86400,"")/VALUE(SUBSTITUTE(B1205,"K","")),0),60),"00"),""))</f>
        <v/>
      </c>
      <c r="G1205" s="21">
        <f>IF(A1205="","",IF(COUNTIF(Atletas!$A$2:$A$302,A1205)&gt;0,"Sí","No"))</f>
        <v/>
      </c>
    </row>
    <row r="1206">
      <c r="A1206" s="17" t="n"/>
      <c r="B1206" s="17" t="n"/>
      <c r="C1206" s="18" t="n"/>
      <c r="D1206" s="19" t="n"/>
      <c r="E1206" s="17" t="n"/>
      <c r="F1206" s="21">
        <f>IF(OR(B1206="",C1206=""),"",IFERROR(INT(ROUND(IFERROR(TIMEVALUE(IF(LEN(C1206)-LEN(SUBSTITUTE(C1206,":",""))=2,"","0:")&amp;C1206)*86400,"")/VALUE(SUBSTITUTE(B1206,"K","")),0)/60)&amp;":"&amp;TEXT(MOD(ROUND(IFERROR(TIMEVALUE(IF(LEN(C1206)-LEN(SUBSTITUTE(C1206,":",""))=2,"","0:")&amp;C1206)*86400,"")/VALUE(SUBSTITUTE(B1206,"K","")),0),60),"00"),""))</f>
        <v/>
      </c>
      <c r="G1206" s="21">
        <f>IF(A1206="","",IF(COUNTIF(Atletas!$A$2:$A$302,A1206)&gt;0,"Sí","No"))</f>
        <v/>
      </c>
    </row>
    <row r="1207">
      <c r="A1207" s="17" t="n"/>
      <c r="B1207" s="17" t="n"/>
      <c r="C1207" s="18" t="n"/>
      <c r="D1207" s="19" t="n"/>
      <c r="E1207" s="17" t="n"/>
      <c r="F1207" s="21">
        <f>IF(OR(B1207="",C1207=""),"",IFERROR(INT(ROUND(IFERROR(TIMEVALUE(IF(LEN(C1207)-LEN(SUBSTITUTE(C1207,":",""))=2,"","0:")&amp;C1207)*86400,"")/VALUE(SUBSTITUTE(B1207,"K","")),0)/60)&amp;":"&amp;TEXT(MOD(ROUND(IFERROR(TIMEVALUE(IF(LEN(C1207)-LEN(SUBSTITUTE(C1207,":",""))=2,"","0:")&amp;C1207)*86400,"")/VALUE(SUBSTITUTE(B1207,"K","")),0),60),"00"),""))</f>
        <v/>
      </c>
      <c r="G1207" s="21">
        <f>IF(A1207="","",IF(COUNTIF(Atletas!$A$2:$A$302,A1207)&gt;0,"Sí","No"))</f>
        <v/>
      </c>
    </row>
    <row r="1208">
      <c r="A1208" s="17" t="n"/>
      <c r="B1208" s="17" t="n"/>
      <c r="C1208" s="18" t="n"/>
      <c r="D1208" s="19" t="n"/>
      <c r="E1208" s="17" t="n"/>
      <c r="F1208" s="21">
        <f>IF(OR(B1208="",C1208=""),"",IFERROR(INT(ROUND(IFERROR(TIMEVALUE(IF(LEN(C1208)-LEN(SUBSTITUTE(C1208,":",""))=2,"","0:")&amp;C1208)*86400,"")/VALUE(SUBSTITUTE(B1208,"K","")),0)/60)&amp;":"&amp;TEXT(MOD(ROUND(IFERROR(TIMEVALUE(IF(LEN(C1208)-LEN(SUBSTITUTE(C1208,":",""))=2,"","0:")&amp;C1208)*86400,"")/VALUE(SUBSTITUTE(B1208,"K","")),0),60),"00"),""))</f>
        <v/>
      </c>
      <c r="G1208" s="21">
        <f>IF(A1208="","",IF(COUNTIF(Atletas!$A$2:$A$302,A1208)&gt;0,"Sí","No"))</f>
        <v/>
      </c>
    </row>
    <row r="1209">
      <c r="A1209" s="17" t="n"/>
      <c r="B1209" s="17" t="n"/>
      <c r="C1209" s="18" t="n"/>
      <c r="D1209" s="19" t="n"/>
      <c r="E1209" s="17" t="n"/>
      <c r="F1209" s="21">
        <f>IF(OR(B1209="",C1209=""),"",IFERROR(INT(ROUND(IFERROR(TIMEVALUE(IF(LEN(C1209)-LEN(SUBSTITUTE(C1209,":",""))=2,"","0:")&amp;C1209)*86400,"")/VALUE(SUBSTITUTE(B1209,"K","")),0)/60)&amp;":"&amp;TEXT(MOD(ROUND(IFERROR(TIMEVALUE(IF(LEN(C1209)-LEN(SUBSTITUTE(C1209,":",""))=2,"","0:")&amp;C1209)*86400,"")/VALUE(SUBSTITUTE(B1209,"K","")),0),60),"00"),""))</f>
        <v/>
      </c>
      <c r="G1209" s="21">
        <f>IF(A1209="","",IF(COUNTIF(Atletas!$A$2:$A$302,A1209)&gt;0,"Sí","No"))</f>
        <v/>
      </c>
    </row>
    <row r="1210">
      <c r="A1210" s="17" t="n"/>
      <c r="B1210" s="17" t="n"/>
      <c r="C1210" s="18" t="n"/>
      <c r="D1210" s="19" t="n"/>
      <c r="E1210" s="17" t="n"/>
      <c r="F1210" s="21">
        <f>IF(OR(B1210="",C1210=""),"",IFERROR(INT(ROUND(IFERROR(TIMEVALUE(IF(LEN(C1210)-LEN(SUBSTITUTE(C1210,":",""))=2,"","0:")&amp;C1210)*86400,"")/VALUE(SUBSTITUTE(B1210,"K","")),0)/60)&amp;":"&amp;TEXT(MOD(ROUND(IFERROR(TIMEVALUE(IF(LEN(C1210)-LEN(SUBSTITUTE(C1210,":",""))=2,"","0:")&amp;C1210)*86400,"")/VALUE(SUBSTITUTE(B1210,"K","")),0),60),"00"),""))</f>
        <v/>
      </c>
      <c r="G1210" s="21">
        <f>IF(A1210="","",IF(COUNTIF(Atletas!$A$2:$A$302,A1210)&gt;0,"Sí","No"))</f>
        <v/>
      </c>
    </row>
    <row r="1211">
      <c r="A1211" s="17" t="n"/>
      <c r="B1211" s="17" t="n"/>
      <c r="C1211" s="18" t="n"/>
      <c r="D1211" s="19" t="n"/>
      <c r="E1211" s="17" t="n"/>
      <c r="F1211" s="21">
        <f>IF(OR(B1211="",C1211=""),"",IFERROR(INT(ROUND(IFERROR(TIMEVALUE(IF(LEN(C1211)-LEN(SUBSTITUTE(C1211,":",""))=2,"","0:")&amp;C1211)*86400,"")/VALUE(SUBSTITUTE(B1211,"K","")),0)/60)&amp;":"&amp;TEXT(MOD(ROUND(IFERROR(TIMEVALUE(IF(LEN(C1211)-LEN(SUBSTITUTE(C1211,":",""))=2,"","0:")&amp;C1211)*86400,"")/VALUE(SUBSTITUTE(B1211,"K","")),0),60),"00"),""))</f>
        <v/>
      </c>
      <c r="G1211" s="21">
        <f>IF(A1211="","",IF(COUNTIF(Atletas!$A$2:$A$302,A1211)&gt;0,"Sí","No"))</f>
        <v/>
      </c>
    </row>
    <row r="1212">
      <c r="A1212" s="17" t="n"/>
      <c r="B1212" s="17" t="n"/>
      <c r="C1212" s="18" t="n"/>
      <c r="D1212" s="19" t="n"/>
      <c r="E1212" s="17" t="n"/>
      <c r="F1212" s="21">
        <f>IF(OR(B1212="",C1212=""),"",IFERROR(INT(ROUND(IFERROR(TIMEVALUE(IF(LEN(C1212)-LEN(SUBSTITUTE(C1212,":",""))=2,"","0:")&amp;C1212)*86400,"")/VALUE(SUBSTITUTE(B1212,"K","")),0)/60)&amp;":"&amp;TEXT(MOD(ROUND(IFERROR(TIMEVALUE(IF(LEN(C1212)-LEN(SUBSTITUTE(C1212,":",""))=2,"","0:")&amp;C1212)*86400,"")/VALUE(SUBSTITUTE(B1212,"K","")),0),60),"00"),""))</f>
        <v/>
      </c>
      <c r="G1212" s="21">
        <f>IF(A1212="","",IF(COUNTIF(Atletas!$A$2:$A$302,A1212)&gt;0,"Sí","No"))</f>
        <v/>
      </c>
    </row>
    <row r="1213">
      <c r="A1213" s="17" t="n"/>
      <c r="B1213" s="17" t="n"/>
      <c r="C1213" s="18" t="n"/>
      <c r="D1213" s="19" t="n"/>
      <c r="E1213" s="17" t="n"/>
      <c r="F1213" s="21">
        <f>IF(OR(B1213="",C1213=""),"",IFERROR(INT(ROUND(IFERROR(TIMEVALUE(IF(LEN(C1213)-LEN(SUBSTITUTE(C1213,":",""))=2,"","0:")&amp;C1213)*86400,"")/VALUE(SUBSTITUTE(B1213,"K","")),0)/60)&amp;":"&amp;TEXT(MOD(ROUND(IFERROR(TIMEVALUE(IF(LEN(C1213)-LEN(SUBSTITUTE(C1213,":",""))=2,"","0:")&amp;C1213)*86400,"")/VALUE(SUBSTITUTE(B1213,"K","")),0),60),"00"),""))</f>
        <v/>
      </c>
      <c r="G1213" s="21">
        <f>IF(A1213="","",IF(COUNTIF(Atletas!$A$2:$A$302,A1213)&gt;0,"Sí","No"))</f>
        <v/>
      </c>
    </row>
    <row r="1214">
      <c r="A1214" s="17" t="n"/>
      <c r="B1214" s="17" t="n"/>
      <c r="C1214" s="18" t="n"/>
      <c r="D1214" s="19" t="n"/>
      <c r="E1214" s="17" t="n"/>
      <c r="F1214" s="21">
        <f>IF(OR(B1214="",C1214=""),"",IFERROR(INT(ROUND(IFERROR(TIMEVALUE(IF(LEN(C1214)-LEN(SUBSTITUTE(C1214,":",""))=2,"","0:")&amp;C1214)*86400,"")/VALUE(SUBSTITUTE(B1214,"K","")),0)/60)&amp;":"&amp;TEXT(MOD(ROUND(IFERROR(TIMEVALUE(IF(LEN(C1214)-LEN(SUBSTITUTE(C1214,":",""))=2,"","0:")&amp;C1214)*86400,"")/VALUE(SUBSTITUTE(B1214,"K","")),0),60),"00"),""))</f>
        <v/>
      </c>
      <c r="G1214" s="21">
        <f>IF(A1214="","",IF(COUNTIF(Atletas!$A$2:$A$302,A1214)&gt;0,"Sí","No"))</f>
        <v/>
      </c>
    </row>
    <row r="1215">
      <c r="A1215" s="17" t="n"/>
      <c r="B1215" s="17" t="n"/>
      <c r="C1215" s="18" t="n"/>
      <c r="D1215" s="19" t="n"/>
      <c r="E1215" s="17" t="n"/>
      <c r="F1215" s="21">
        <f>IF(OR(B1215="",C1215=""),"",IFERROR(INT(ROUND(IFERROR(TIMEVALUE(IF(LEN(C1215)-LEN(SUBSTITUTE(C1215,":",""))=2,"","0:")&amp;C1215)*86400,"")/VALUE(SUBSTITUTE(B1215,"K","")),0)/60)&amp;":"&amp;TEXT(MOD(ROUND(IFERROR(TIMEVALUE(IF(LEN(C1215)-LEN(SUBSTITUTE(C1215,":",""))=2,"","0:")&amp;C1215)*86400,"")/VALUE(SUBSTITUTE(B1215,"K","")),0),60),"00"),""))</f>
        <v/>
      </c>
      <c r="G1215" s="21">
        <f>IF(A1215="","",IF(COUNTIF(Atletas!$A$2:$A$302,A1215)&gt;0,"Sí","No"))</f>
        <v/>
      </c>
    </row>
    <row r="1216">
      <c r="A1216" s="17" t="n"/>
      <c r="B1216" s="17" t="n"/>
      <c r="C1216" s="18" t="n"/>
      <c r="D1216" s="19" t="n"/>
      <c r="E1216" s="17" t="n"/>
      <c r="F1216" s="21">
        <f>IF(OR(B1216="",C1216=""),"",IFERROR(INT(ROUND(IFERROR(TIMEVALUE(IF(LEN(C1216)-LEN(SUBSTITUTE(C1216,":",""))=2,"","0:")&amp;C1216)*86400,"")/VALUE(SUBSTITUTE(B1216,"K","")),0)/60)&amp;":"&amp;TEXT(MOD(ROUND(IFERROR(TIMEVALUE(IF(LEN(C1216)-LEN(SUBSTITUTE(C1216,":",""))=2,"","0:")&amp;C1216)*86400,"")/VALUE(SUBSTITUTE(B1216,"K","")),0),60),"00"),""))</f>
        <v/>
      </c>
      <c r="G1216" s="21">
        <f>IF(A1216="","",IF(COUNTIF(Atletas!$A$2:$A$302,A1216)&gt;0,"Sí","No"))</f>
        <v/>
      </c>
    </row>
    <row r="1217">
      <c r="A1217" s="17" t="n"/>
      <c r="B1217" s="17" t="n"/>
      <c r="C1217" s="18" t="n"/>
      <c r="D1217" s="19" t="n"/>
      <c r="E1217" s="17" t="n"/>
      <c r="F1217" s="21">
        <f>IF(OR(B1217="",C1217=""),"",IFERROR(INT(ROUND(IFERROR(TIMEVALUE(IF(LEN(C1217)-LEN(SUBSTITUTE(C1217,":",""))=2,"","0:")&amp;C1217)*86400,"")/VALUE(SUBSTITUTE(B1217,"K","")),0)/60)&amp;":"&amp;TEXT(MOD(ROUND(IFERROR(TIMEVALUE(IF(LEN(C1217)-LEN(SUBSTITUTE(C1217,":",""))=2,"","0:")&amp;C1217)*86400,"")/VALUE(SUBSTITUTE(B1217,"K","")),0),60),"00"),""))</f>
        <v/>
      </c>
      <c r="G1217" s="21">
        <f>IF(A1217="","",IF(COUNTIF(Atletas!$A$2:$A$302,A1217)&gt;0,"Sí","No"))</f>
        <v/>
      </c>
    </row>
    <row r="1218">
      <c r="A1218" s="17" t="n"/>
      <c r="B1218" s="17" t="n"/>
      <c r="C1218" s="18" t="n"/>
      <c r="D1218" s="19" t="n"/>
      <c r="E1218" s="17" t="n"/>
      <c r="F1218" s="21">
        <f>IF(OR(B1218="",C1218=""),"",IFERROR(INT(ROUND(IFERROR(TIMEVALUE(IF(LEN(C1218)-LEN(SUBSTITUTE(C1218,":",""))=2,"","0:")&amp;C1218)*86400,"")/VALUE(SUBSTITUTE(B1218,"K","")),0)/60)&amp;":"&amp;TEXT(MOD(ROUND(IFERROR(TIMEVALUE(IF(LEN(C1218)-LEN(SUBSTITUTE(C1218,":",""))=2,"","0:")&amp;C1218)*86400,"")/VALUE(SUBSTITUTE(B1218,"K","")),0),60),"00"),""))</f>
        <v/>
      </c>
      <c r="G1218" s="21">
        <f>IF(A1218="","",IF(COUNTIF(Atletas!$A$2:$A$302,A1218)&gt;0,"Sí","No"))</f>
        <v/>
      </c>
    </row>
    <row r="1219">
      <c r="A1219" s="17" t="n"/>
      <c r="B1219" s="17" t="n"/>
      <c r="C1219" s="18" t="n"/>
      <c r="D1219" s="19" t="n"/>
      <c r="E1219" s="17" t="n"/>
      <c r="F1219" s="21">
        <f>IF(OR(B1219="",C1219=""),"",IFERROR(INT(ROUND(IFERROR(TIMEVALUE(IF(LEN(C1219)-LEN(SUBSTITUTE(C1219,":",""))=2,"","0:")&amp;C1219)*86400,"")/VALUE(SUBSTITUTE(B1219,"K","")),0)/60)&amp;":"&amp;TEXT(MOD(ROUND(IFERROR(TIMEVALUE(IF(LEN(C1219)-LEN(SUBSTITUTE(C1219,":",""))=2,"","0:")&amp;C1219)*86400,"")/VALUE(SUBSTITUTE(B1219,"K","")),0),60),"00"),""))</f>
        <v/>
      </c>
      <c r="G1219" s="21">
        <f>IF(A1219="","",IF(COUNTIF(Atletas!$A$2:$A$302,A1219)&gt;0,"Sí","No"))</f>
        <v/>
      </c>
    </row>
    <row r="1220">
      <c r="A1220" s="17" t="n"/>
      <c r="B1220" s="17" t="n"/>
      <c r="C1220" s="18" t="n"/>
      <c r="D1220" s="19" t="n"/>
      <c r="E1220" s="17" t="n"/>
      <c r="F1220" s="21">
        <f>IF(OR(B1220="",C1220=""),"",IFERROR(INT(ROUND(IFERROR(TIMEVALUE(IF(LEN(C1220)-LEN(SUBSTITUTE(C1220,":",""))=2,"","0:")&amp;C1220)*86400,"")/VALUE(SUBSTITUTE(B1220,"K","")),0)/60)&amp;":"&amp;TEXT(MOD(ROUND(IFERROR(TIMEVALUE(IF(LEN(C1220)-LEN(SUBSTITUTE(C1220,":",""))=2,"","0:")&amp;C1220)*86400,"")/VALUE(SUBSTITUTE(B1220,"K","")),0),60),"00"),""))</f>
        <v/>
      </c>
      <c r="G1220" s="21">
        <f>IF(A1220="","",IF(COUNTIF(Atletas!$A$2:$A$302,A1220)&gt;0,"Sí","No"))</f>
        <v/>
      </c>
    </row>
    <row r="1221">
      <c r="A1221" s="17" t="n"/>
      <c r="B1221" s="17" t="n"/>
      <c r="C1221" s="18" t="n"/>
      <c r="D1221" s="19" t="n"/>
      <c r="E1221" s="17" t="n"/>
      <c r="F1221" s="21">
        <f>IF(OR(B1221="",C1221=""),"",IFERROR(INT(ROUND(IFERROR(TIMEVALUE(IF(LEN(C1221)-LEN(SUBSTITUTE(C1221,":",""))=2,"","0:")&amp;C1221)*86400,"")/VALUE(SUBSTITUTE(B1221,"K","")),0)/60)&amp;":"&amp;TEXT(MOD(ROUND(IFERROR(TIMEVALUE(IF(LEN(C1221)-LEN(SUBSTITUTE(C1221,":",""))=2,"","0:")&amp;C1221)*86400,"")/VALUE(SUBSTITUTE(B1221,"K","")),0),60),"00"),""))</f>
        <v/>
      </c>
      <c r="G1221" s="21">
        <f>IF(A1221="","",IF(COUNTIF(Atletas!$A$2:$A$302,A1221)&gt;0,"Sí","No"))</f>
        <v/>
      </c>
    </row>
    <row r="1222">
      <c r="A1222" s="17" t="n"/>
      <c r="B1222" s="17" t="n"/>
      <c r="C1222" s="18" t="n"/>
      <c r="D1222" s="19" t="n"/>
      <c r="E1222" s="17" t="n"/>
      <c r="F1222" s="21">
        <f>IF(OR(B1222="",C1222=""),"",IFERROR(INT(ROUND(IFERROR(TIMEVALUE(IF(LEN(C1222)-LEN(SUBSTITUTE(C1222,":",""))=2,"","0:")&amp;C1222)*86400,"")/VALUE(SUBSTITUTE(B1222,"K","")),0)/60)&amp;":"&amp;TEXT(MOD(ROUND(IFERROR(TIMEVALUE(IF(LEN(C1222)-LEN(SUBSTITUTE(C1222,":",""))=2,"","0:")&amp;C1222)*86400,"")/VALUE(SUBSTITUTE(B1222,"K","")),0),60),"00"),""))</f>
        <v/>
      </c>
      <c r="G1222" s="21">
        <f>IF(A1222="","",IF(COUNTIF(Atletas!$A$2:$A$302,A1222)&gt;0,"Sí","No"))</f>
        <v/>
      </c>
    </row>
    <row r="1223">
      <c r="A1223" s="17" t="n"/>
      <c r="B1223" s="17" t="n"/>
      <c r="C1223" s="18" t="n"/>
      <c r="D1223" s="19" t="n"/>
      <c r="E1223" s="17" t="n"/>
      <c r="F1223" s="21">
        <f>IF(OR(B1223="",C1223=""),"",IFERROR(INT(ROUND(IFERROR(TIMEVALUE(IF(LEN(C1223)-LEN(SUBSTITUTE(C1223,":",""))=2,"","0:")&amp;C1223)*86400,"")/VALUE(SUBSTITUTE(B1223,"K","")),0)/60)&amp;":"&amp;TEXT(MOD(ROUND(IFERROR(TIMEVALUE(IF(LEN(C1223)-LEN(SUBSTITUTE(C1223,":",""))=2,"","0:")&amp;C1223)*86400,"")/VALUE(SUBSTITUTE(B1223,"K","")),0),60),"00"),""))</f>
        <v/>
      </c>
      <c r="G1223" s="21">
        <f>IF(A1223="","",IF(COUNTIF(Atletas!$A$2:$A$302,A1223)&gt;0,"Sí","No"))</f>
        <v/>
      </c>
    </row>
    <row r="1224">
      <c r="A1224" s="17" t="n"/>
      <c r="B1224" s="17" t="n"/>
      <c r="C1224" s="18" t="n"/>
      <c r="D1224" s="19" t="n"/>
      <c r="E1224" s="17" t="n"/>
      <c r="F1224" s="21">
        <f>IF(OR(B1224="",C1224=""),"",IFERROR(INT(ROUND(IFERROR(TIMEVALUE(IF(LEN(C1224)-LEN(SUBSTITUTE(C1224,":",""))=2,"","0:")&amp;C1224)*86400,"")/VALUE(SUBSTITUTE(B1224,"K","")),0)/60)&amp;":"&amp;TEXT(MOD(ROUND(IFERROR(TIMEVALUE(IF(LEN(C1224)-LEN(SUBSTITUTE(C1224,":",""))=2,"","0:")&amp;C1224)*86400,"")/VALUE(SUBSTITUTE(B1224,"K","")),0),60),"00"),""))</f>
        <v/>
      </c>
      <c r="G1224" s="21">
        <f>IF(A1224="","",IF(COUNTIF(Atletas!$A$2:$A$302,A1224)&gt;0,"Sí","No"))</f>
        <v/>
      </c>
    </row>
    <row r="1225">
      <c r="A1225" s="17" t="n"/>
      <c r="B1225" s="17" t="n"/>
      <c r="C1225" s="18" t="n"/>
      <c r="D1225" s="19" t="n"/>
      <c r="E1225" s="17" t="n"/>
      <c r="F1225" s="21">
        <f>IF(OR(B1225="",C1225=""),"",IFERROR(INT(ROUND(IFERROR(TIMEVALUE(IF(LEN(C1225)-LEN(SUBSTITUTE(C1225,":",""))=2,"","0:")&amp;C1225)*86400,"")/VALUE(SUBSTITUTE(B1225,"K","")),0)/60)&amp;":"&amp;TEXT(MOD(ROUND(IFERROR(TIMEVALUE(IF(LEN(C1225)-LEN(SUBSTITUTE(C1225,":",""))=2,"","0:")&amp;C1225)*86400,"")/VALUE(SUBSTITUTE(B1225,"K","")),0),60),"00"),""))</f>
        <v/>
      </c>
      <c r="G1225" s="21">
        <f>IF(A1225="","",IF(COUNTIF(Atletas!$A$2:$A$302,A1225)&gt;0,"Sí","No"))</f>
        <v/>
      </c>
    </row>
    <row r="1226">
      <c r="A1226" s="17" t="n"/>
      <c r="B1226" s="17" t="n"/>
      <c r="C1226" s="18" t="n"/>
      <c r="D1226" s="19" t="n"/>
      <c r="E1226" s="17" t="n"/>
      <c r="F1226" s="21">
        <f>IF(OR(B1226="",C1226=""),"",IFERROR(INT(ROUND(IFERROR(TIMEVALUE(IF(LEN(C1226)-LEN(SUBSTITUTE(C1226,":",""))=2,"","0:")&amp;C1226)*86400,"")/VALUE(SUBSTITUTE(B1226,"K","")),0)/60)&amp;":"&amp;TEXT(MOD(ROUND(IFERROR(TIMEVALUE(IF(LEN(C1226)-LEN(SUBSTITUTE(C1226,":",""))=2,"","0:")&amp;C1226)*86400,"")/VALUE(SUBSTITUTE(B1226,"K","")),0),60),"00"),""))</f>
        <v/>
      </c>
      <c r="G1226" s="21">
        <f>IF(A1226="","",IF(COUNTIF(Atletas!$A$2:$A$302,A1226)&gt;0,"Sí","No"))</f>
        <v/>
      </c>
    </row>
    <row r="1227">
      <c r="A1227" s="17" t="n"/>
      <c r="B1227" s="17" t="n"/>
      <c r="C1227" s="18" t="n"/>
      <c r="D1227" s="19" t="n"/>
      <c r="E1227" s="17" t="n"/>
      <c r="F1227" s="21">
        <f>IF(OR(B1227="",C1227=""),"",IFERROR(INT(ROUND(IFERROR(TIMEVALUE(IF(LEN(C1227)-LEN(SUBSTITUTE(C1227,":",""))=2,"","0:")&amp;C1227)*86400,"")/VALUE(SUBSTITUTE(B1227,"K","")),0)/60)&amp;":"&amp;TEXT(MOD(ROUND(IFERROR(TIMEVALUE(IF(LEN(C1227)-LEN(SUBSTITUTE(C1227,":",""))=2,"","0:")&amp;C1227)*86400,"")/VALUE(SUBSTITUTE(B1227,"K","")),0),60),"00"),""))</f>
        <v/>
      </c>
      <c r="G1227" s="21">
        <f>IF(A1227="","",IF(COUNTIF(Atletas!$A$2:$A$302,A1227)&gt;0,"Sí","No"))</f>
        <v/>
      </c>
    </row>
    <row r="1228">
      <c r="A1228" s="17" t="n"/>
      <c r="B1228" s="17" t="n"/>
      <c r="C1228" s="18" t="n"/>
      <c r="D1228" s="19" t="n"/>
      <c r="E1228" s="17" t="n"/>
      <c r="F1228" s="21">
        <f>IF(OR(B1228="",C1228=""),"",IFERROR(INT(ROUND(IFERROR(TIMEVALUE(IF(LEN(C1228)-LEN(SUBSTITUTE(C1228,":",""))=2,"","0:")&amp;C1228)*86400,"")/VALUE(SUBSTITUTE(B1228,"K","")),0)/60)&amp;":"&amp;TEXT(MOD(ROUND(IFERROR(TIMEVALUE(IF(LEN(C1228)-LEN(SUBSTITUTE(C1228,":",""))=2,"","0:")&amp;C1228)*86400,"")/VALUE(SUBSTITUTE(B1228,"K","")),0),60),"00"),""))</f>
        <v/>
      </c>
      <c r="G1228" s="21">
        <f>IF(A1228="","",IF(COUNTIF(Atletas!$A$2:$A$302,A1228)&gt;0,"Sí","No"))</f>
        <v/>
      </c>
    </row>
    <row r="1229">
      <c r="A1229" s="17" t="n"/>
      <c r="B1229" s="17" t="n"/>
      <c r="C1229" s="18" t="n"/>
      <c r="D1229" s="19" t="n"/>
      <c r="E1229" s="17" t="n"/>
      <c r="F1229" s="21">
        <f>IF(OR(B1229="",C1229=""),"",IFERROR(INT(ROUND(IFERROR(TIMEVALUE(IF(LEN(C1229)-LEN(SUBSTITUTE(C1229,":",""))=2,"","0:")&amp;C1229)*86400,"")/VALUE(SUBSTITUTE(B1229,"K","")),0)/60)&amp;":"&amp;TEXT(MOD(ROUND(IFERROR(TIMEVALUE(IF(LEN(C1229)-LEN(SUBSTITUTE(C1229,":",""))=2,"","0:")&amp;C1229)*86400,"")/VALUE(SUBSTITUTE(B1229,"K","")),0),60),"00"),""))</f>
        <v/>
      </c>
      <c r="G1229" s="21">
        <f>IF(A1229="","",IF(COUNTIF(Atletas!$A$2:$A$302,A1229)&gt;0,"Sí","No"))</f>
        <v/>
      </c>
    </row>
    <row r="1230">
      <c r="A1230" s="17" t="n"/>
      <c r="B1230" s="17" t="n"/>
      <c r="C1230" s="18" t="n"/>
      <c r="D1230" s="19" t="n"/>
      <c r="E1230" s="17" t="n"/>
      <c r="F1230" s="21">
        <f>IF(OR(B1230="",C1230=""),"",IFERROR(INT(ROUND(IFERROR(TIMEVALUE(IF(LEN(C1230)-LEN(SUBSTITUTE(C1230,":",""))=2,"","0:")&amp;C1230)*86400,"")/VALUE(SUBSTITUTE(B1230,"K","")),0)/60)&amp;":"&amp;TEXT(MOD(ROUND(IFERROR(TIMEVALUE(IF(LEN(C1230)-LEN(SUBSTITUTE(C1230,":",""))=2,"","0:")&amp;C1230)*86400,"")/VALUE(SUBSTITUTE(B1230,"K","")),0),60),"00"),""))</f>
        <v/>
      </c>
      <c r="G1230" s="21">
        <f>IF(A1230="","",IF(COUNTIF(Atletas!$A$2:$A$302,A1230)&gt;0,"Sí","No"))</f>
        <v/>
      </c>
    </row>
    <row r="1231">
      <c r="A1231" s="17" t="n"/>
      <c r="B1231" s="17" t="n"/>
      <c r="C1231" s="18" t="n"/>
      <c r="D1231" s="19" t="n"/>
      <c r="E1231" s="17" t="n"/>
      <c r="F1231" s="21">
        <f>IF(OR(B1231="",C1231=""),"",IFERROR(INT(ROUND(IFERROR(TIMEVALUE(IF(LEN(C1231)-LEN(SUBSTITUTE(C1231,":",""))=2,"","0:")&amp;C1231)*86400,"")/VALUE(SUBSTITUTE(B1231,"K","")),0)/60)&amp;":"&amp;TEXT(MOD(ROUND(IFERROR(TIMEVALUE(IF(LEN(C1231)-LEN(SUBSTITUTE(C1231,":",""))=2,"","0:")&amp;C1231)*86400,"")/VALUE(SUBSTITUTE(B1231,"K","")),0),60),"00"),""))</f>
        <v/>
      </c>
      <c r="G1231" s="21">
        <f>IF(A1231="","",IF(COUNTIF(Atletas!$A$2:$A$302,A1231)&gt;0,"Sí","No"))</f>
        <v/>
      </c>
    </row>
    <row r="1232">
      <c r="A1232" s="17" t="n"/>
      <c r="B1232" s="17" t="n"/>
      <c r="C1232" s="18" t="n"/>
      <c r="D1232" s="19" t="n"/>
      <c r="E1232" s="17" t="n"/>
      <c r="F1232" s="21">
        <f>IF(OR(B1232="",C1232=""),"",IFERROR(INT(ROUND(IFERROR(TIMEVALUE(IF(LEN(C1232)-LEN(SUBSTITUTE(C1232,":",""))=2,"","0:")&amp;C1232)*86400,"")/VALUE(SUBSTITUTE(B1232,"K","")),0)/60)&amp;":"&amp;TEXT(MOD(ROUND(IFERROR(TIMEVALUE(IF(LEN(C1232)-LEN(SUBSTITUTE(C1232,":",""))=2,"","0:")&amp;C1232)*86400,"")/VALUE(SUBSTITUTE(B1232,"K","")),0),60),"00"),""))</f>
        <v/>
      </c>
      <c r="G1232" s="21">
        <f>IF(A1232="","",IF(COUNTIF(Atletas!$A$2:$A$302,A1232)&gt;0,"Sí","No"))</f>
        <v/>
      </c>
    </row>
    <row r="1233">
      <c r="A1233" s="17" t="n"/>
      <c r="B1233" s="17" t="n"/>
      <c r="C1233" s="18" t="n"/>
      <c r="D1233" s="19" t="n"/>
      <c r="E1233" s="17" t="n"/>
      <c r="F1233" s="21">
        <f>IF(OR(B1233="",C1233=""),"",IFERROR(INT(ROUND(IFERROR(TIMEVALUE(IF(LEN(C1233)-LEN(SUBSTITUTE(C1233,":",""))=2,"","0:")&amp;C1233)*86400,"")/VALUE(SUBSTITUTE(B1233,"K","")),0)/60)&amp;":"&amp;TEXT(MOD(ROUND(IFERROR(TIMEVALUE(IF(LEN(C1233)-LEN(SUBSTITUTE(C1233,":",""))=2,"","0:")&amp;C1233)*86400,"")/VALUE(SUBSTITUTE(B1233,"K","")),0),60),"00"),""))</f>
        <v/>
      </c>
      <c r="G1233" s="21">
        <f>IF(A1233="","",IF(COUNTIF(Atletas!$A$2:$A$302,A1233)&gt;0,"Sí","No"))</f>
        <v/>
      </c>
    </row>
    <row r="1234">
      <c r="A1234" s="17" t="n"/>
      <c r="B1234" s="17" t="n"/>
      <c r="C1234" s="18" t="n"/>
      <c r="D1234" s="19" t="n"/>
      <c r="E1234" s="17" t="n"/>
      <c r="F1234" s="21">
        <f>IF(OR(B1234="",C1234=""),"",IFERROR(INT(ROUND(IFERROR(TIMEVALUE(IF(LEN(C1234)-LEN(SUBSTITUTE(C1234,":",""))=2,"","0:")&amp;C1234)*86400,"")/VALUE(SUBSTITUTE(B1234,"K","")),0)/60)&amp;":"&amp;TEXT(MOD(ROUND(IFERROR(TIMEVALUE(IF(LEN(C1234)-LEN(SUBSTITUTE(C1234,":",""))=2,"","0:")&amp;C1234)*86400,"")/VALUE(SUBSTITUTE(B1234,"K","")),0),60),"00"),""))</f>
        <v/>
      </c>
      <c r="G1234" s="21">
        <f>IF(A1234="","",IF(COUNTIF(Atletas!$A$2:$A$302,A1234)&gt;0,"Sí","No"))</f>
        <v/>
      </c>
    </row>
    <row r="1235">
      <c r="A1235" s="17" t="n"/>
      <c r="B1235" s="17" t="n"/>
      <c r="C1235" s="18" t="n"/>
      <c r="D1235" s="19" t="n"/>
      <c r="E1235" s="17" t="n"/>
      <c r="F1235" s="21">
        <f>IF(OR(B1235="",C1235=""),"",IFERROR(INT(ROUND(IFERROR(TIMEVALUE(IF(LEN(C1235)-LEN(SUBSTITUTE(C1235,":",""))=2,"","0:")&amp;C1235)*86400,"")/VALUE(SUBSTITUTE(B1235,"K","")),0)/60)&amp;":"&amp;TEXT(MOD(ROUND(IFERROR(TIMEVALUE(IF(LEN(C1235)-LEN(SUBSTITUTE(C1235,":",""))=2,"","0:")&amp;C1235)*86400,"")/VALUE(SUBSTITUTE(B1235,"K","")),0),60),"00"),""))</f>
        <v/>
      </c>
      <c r="G1235" s="21">
        <f>IF(A1235="","",IF(COUNTIF(Atletas!$A$2:$A$302,A1235)&gt;0,"Sí","No"))</f>
        <v/>
      </c>
    </row>
    <row r="1236">
      <c r="A1236" s="17" t="n"/>
      <c r="B1236" s="17" t="n"/>
      <c r="C1236" s="18" t="n"/>
      <c r="D1236" s="19" t="n"/>
      <c r="E1236" s="17" t="n"/>
      <c r="F1236" s="21">
        <f>IF(OR(B1236="",C1236=""),"",IFERROR(INT(ROUND(IFERROR(TIMEVALUE(IF(LEN(C1236)-LEN(SUBSTITUTE(C1236,":",""))=2,"","0:")&amp;C1236)*86400,"")/VALUE(SUBSTITUTE(B1236,"K","")),0)/60)&amp;":"&amp;TEXT(MOD(ROUND(IFERROR(TIMEVALUE(IF(LEN(C1236)-LEN(SUBSTITUTE(C1236,":",""))=2,"","0:")&amp;C1236)*86400,"")/VALUE(SUBSTITUTE(B1236,"K","")),0),60),"00"),""))</f>
        <v/>
      </c>
      <c r="G1236" s="21">
        <f>IF(A1236="","",IF(COUNTIF(Atletas!$A$2:$A$302,A1236)&gt;0,"Sí","No"))</f>
        <v/>
      </c>
    </row>
    <row r="1237">
      <c r="A1237" s="17" t="n"/>
      <c r="B1237" s="17" t="n"/>
      <c r="C1237" s="18" t="n"/>
      <c r="D1237" s="19" t="n"/>
      <c r="E1237" s="17" t="n"/>
      <c r="F1237" s="21">
        <f>IF(OR(B1237="",C1237=""),"",IFERROR(INT(ROUND(IFERROR(TIMEVALUE(IF(LEN(C1237)-LEN(SUBSTITUTE(C1237,":",""))=2,"","0:")&amp;C1237)*86400,"")/VALUE(SUBSTITUTE(B1237,"K","")),0)/60)&amp;":"&amp;TEXT(MOD(ROUND(IFERROR(TIMEVALUE(IF(LEN(C1237)-LEN(SUBSTITUTE(C1237,":",""))=2,"","0:")&amp;C1237)*86400,"")/VALUE(SUBSTITUTE(B1237,"K","")),0),60),"00"),""))</f>
        <v/>
      </c>
      <c r="G1237" s="21">
        <f>IF(A1237="","",IF(COUNTIF(Atletas!$A$2:$A$302,A1237)&gt;0,"Sí","No"))</f>
        <v/>
      </c>
    </row>
    <row r="1238">
      <c r="A1238" s="17" t="n"/>
      <c r="B1238" s="17" t="n"/>
      <c r="C1238" s="18" t="n"/>
      <c r="D1238" s="19" t="n"/>
      <c r="E1238" s="17" t="n"/>
      <c r="F1238" s="21">
        <f>IF(OR(B1238="",C1238=""),"",IFERROR(INT(ROUND(IFERROR(TIMEVALUE(IF(LEN(C1238)-LEN(SUBSTITUTE(C1238,":",""))=2,"","0:")&amp;C1238)*86400,"")/VALUE(SUBSTITUTE(B1238,"K","")),0)/60)&amp;":"&amp;TEXT(MOD(ROUND(IFERROR(TIMEVALUE(IF(LEN(C1238)-LEN(SUBSTITUTE(C1238,":",""))=2,"","0:")&amp;C1238)*86400,"")/VALUE(SUBSTITUTE(B1238,"K","")),0),60),"00"),""))</f>
        <v/>
      </c>
      <c r="G1238" s="21">
        <f>IF(A1238="","",IF(COUNTIF(Atletas!$A$2:$A$302,A1238)&gt;0,"Sí","No"))</f>
        <v/>
      </c>
    </row>
    <row r="1239">
      <c r="A1239" s="17" t="n"/>
      <c r="B1239" s="17" t="n"/>
      <c r="C1239" s="18" t="n"/>
      <c r="D1239" s="19" t="n"/>
      <c r="E1239" s="17" t="n"/>
      <c r="F1239" s="21">
        <f>IF(OR(B1239="",C1239=""),"",IFERROR(INT(ROUND(IFERROR(TIMEVALUE(IF(LEN(C1239)-LEN(SUBSTITUTE(C1239,":",""))=2,"","0:")&amp;C1239)*86400,"")/VALUE(SUBSTITUTE(B1239,"K","")),0)/60)&amp;":"&amp;TEXT(MOD(ROUND(IFERROR(TIMEVALUE(IF(LEN(C1239)-LEN(SUBSTITUTE(C1239,":",""))=2,"","0:")&amp;C1239)*86400,"")/VALUE(SUBSTITUTE(B1239,"K","")),0),60),"00"),""))</f>
        <v/>
      </c>
      <c r="G1239" s="21">
        <f>IF(A1239="","",IF(COUNTIF(Atletas!$A$2:$A$302,A1239)&gt;0,"Sí","No"))</f>
        <v/>
      </c>
    </row>
    <row r="1240">
      <c r="A1240" s="17" t="n"/>
      <c r="B1240" s="17" t="n"/>
      <c r="C1240" s="18" t="n"/>
      <c r="D1240" s="19" t="n"/>
      <c r="E1240" s="17" t="n"/>
      <c r="F1240" s="21">
        <f>IF(OR(B1240="",C1240=""),"",IFERROR(INT(ROUND(IFERROR(TIMEVALUE(IF(LEN(C1240)-LEN(SUBSTITUTE(C1240,":",""))=2,"","0:")&amp;C1240)*86400,"")/VALUE(SUBSTITUTE(B1240,"K","")),0)/60)&amp;":"&amp;TEXT(MOD(ROUND(IFERROR(TIMEVALUE(IF(LEN(C1240)-LEN(SUBSTITUTE(C1240,":",""))=2,"","0:")&amp;C1240)*86400,"")/VALUE(SUBSTITUTE(B1240,"K","")),0),60),"00"),""))</f>
        <v/>
      </c>
      <c r="G1240" s="21">
        <f>IF(A1240="","",IF(COUNTIF(Atletas!$A$2:$A$302,A1240)&gt;0,"Sí","No"))</f>
        <v/>
      </c>
    </row>
    <row r="1241">
      <c r="A1241" s="17" t="n"/>
      <c r="B1241" s="17" t="n"/>
      <c r="C1241" s="18" t="n"/>
      <c r="D1241" s="19" t="n"/>
      <c r="E1241" s="17" t="n"/>
      <c r="F1241" s="21">
        <f>IF(OR(B1241="",C1241=""),"",IFERROR(INT(ROUND(IFERROR(TIMEVALUE(IF(LEN(C1241)-LEN(SUBSTITUTE(C1241,":",""))=2,"","0:")&amp;C1241)*86400,"")/VALUE(SUBSTITUTE(B1241,"K","")),0)/60)&amp;":"&amp;TEXT(MOD(ROUND(IFERROR(TIMEVALUE(IF(LEN(C1241)-LEN(SUBSTITUTE(C1241,":",""))=2,"","0:")&amp;C1241)*86400,"")/VALUE(SUBSTITUTE(B1241,"K","")),0),60),"00"),""))</f>
        <v/>
      </c>
      <c r="G1241" s="21">
        <f>IF(A1241="","",IF(COUNTIF(Atletas!$A$2:$A$302,A1241)&gt;0,"Sí","No"))</f>
        <v/>
      </c>
    </row>
    <row r="1242">
      <c r="A1242" s="17" t="n"/>
      <c r="B1242" s="17" t="n"/>
      <c r="C1242" s="18" t="n"/>
      <c r="D1242" s="19" t="n"/>
      <c r="E1242" s="17" t="n"/>
      <c r="F1242" s="21">
        <f>IF(OR(B1242="",C1242=""),"",IFERROR(INT(ROUND(IFERROR(TIMEVALUE(IF(LEN(C1242)-LEN(SUBSTITUTE(C1242,":",""))=2,"","0:")&amp;C1242)*86400,"")/VALUE(SUBSTITUTE(B1242,"K","")),0)/60)&amp;":"&amp;TEXT(MOD(ROUND(IFERROR(TIMEVALUE(IF(LEN(C1242)-LEN(SUBSTITUTE(C1242,":",""))=2,"","0:")&amp;C1242)*86400,"")/VALUE(SUBSTITUTE(B1242,"K","")),0),60),"00"),""))</f>
        <v/>
      </c>
      <c r="G1242" s="21">
        <f>IF(A1242="","",IF(COUNTIF(Atletas!$A$2:$A$302,A1242)&gt;0,"Sí","No"))</f>
        <v/>
      </c>
    </row>
    <row r="1243">
      <c r="A1243" s="17" t="n"/>
      <c r="B1243" s="17" t="n"/>
      <c r="C1243" s="18" t="n"/>
      <c r="D1243" s="19" t="n"/>
      <c r="E1243" s="17" t="n"/>
      <c r="F1243" s="21">
        <f>IF(OR(B1243="",C1243=""),"",IFERROR(INT(ROUND(IFERROR(TIMEVALUE(IF(LEN(C1243)-LEN(SUBSTITUTE(C1243,":",""))=2,"","0:")&amp;C1243)*86400,"")/VALUE(SUBSTITUTE(B1243,"K","")),0)/60)&amp;":"&amp;TEXT(MOD(ROUND(IFERROR(TIMEVALUE(IF(LEN(C1243)-LEN(SUBSTITUTE(C1243,":",""))=2,"","0:")&amp;C1243)*86400,"")/VALUE(SUBSTITUTE(B1243,"K","")),0),60),"00"),""))</f>
        <v/>
      </c>
      <c r="G1243" s="21">
        <f>IF(A1243="","",IF(COUNTIF(Atletas!$A$2:$A$302,A1243)&gt;0,"Sí","No"))</f>
        <v/>
      </c>
    </row>
    <row r="1244">
      <c r="A1244" s="17" t="n"/>
      <c r="B1244" s="17" t="n"/>
      <c r="C1244" s="18" t="n"/>
      <c r="D1244" s="19" t="n"/>
      <c r="E1244" s="17" t="n"/>
      <c r="F1244" s="21">
        <f>IF(OR(B1244="",C1244=""),"",IFERROR(INT(ROUND(IFERROR(TIMEVALUE(IF(LEN(C1244)-LEN(SUBSTITUTE(C1244,":",""))=2,"","0:")&amp;C1244)*86400,"")/VALUE(SUBSTITUTE(B1244,"K","")),0)/60)&amp;":"&amp;TEXT(MOD(ROUND(IFERROR(TIMEVALUE(IF(LEN(C1244)-LEN(SUBSTITUTE(C1244,":",""))=2,"","0:")&amp;C1244)*86400,"")/VALUE(SUBSTITUTE(B1244,"K","")),0),60),"00"),""))</f>
        <v/>
      </c>
      <c r="G1244" s="21">
        <f>IF(A1244="","",IF(COUNTIF(Atletas!$A$2:$A$302,A1244)&gt;0,"Sí","No"))</f>
        <v/>
      </c>
    </row>
    <row r="1245">
      <c r="A1245" s="17" t="n"/>
      <c r="B1245" s="17" t="n"/>
      <c r="C1245" s="18" t="n"/>
      <c r="D1245" s="19" t="n"/>
      <c r="E1245" s="17" t="n"/>
      <c r="F1245" s="21">
        <f>IF(OR(B1245="",C1245=""),"",IFERROR(INT(ROUND(IFERROR(TIMEVALUE(IF(LEN(C1245)-LEN(SUBSTITUTE(C1245,":",""))=2,"","0:")&amp;C1245)*86400,"")/VALUE(SUBSTITUTE(B1245,"K","")),0)/60)&amp;":"&amp;TEXT(MOD(ROUND(IFERROR(TIMEVALUE(IF(LEN(C1245)-LEN(SUBSTITUTE(C1245,":",""))=2,"","0:")&amp;C1245)*86400,"")/VALUE(SUBSTITUTE(B1245,"K","")),0),60),"00"),""))</f>
        <v/>
      </c>
      <c r="G1245" s="21">
        <f>IF(A1245="","",IF(COUNTIF(Atletas!$A$2:$A$302,A1245)&gt;0,"Sí","No"))</f>
        <v/>
      </c>
    </row>
    <row r="1246">
      <c r="A1246" s="17" t="n"/>
      <c r="B1246" s="17" t="n"/>
      <c r="C1246" s="18" t="n"/>
      <c r="D1246" s="19" t="n"/>
      <c r="E1246" s="17" t="n"/>
      <c r="F1246" s="21">
        <f>IF(OR(B1246="",C1246=""),"",IFERROR(INT(ROUND(IFERROR(TIMEVALUE(IF(LEN(C1246)-LEN(SUBSTITUTE(C1246,":",""))=2,"","0:")&amp;C1246)*86400,"")/VALUE(SUBSTITUTE(B1246,"K","")),0)/60)&amp;":"&amp;TEXT(MOD(ROUND(IFERROR(TIMEVALUE(IF(LEN(C1246)-LEN(SUBSTITUTE(C1246,":",""))=2,"","0:")&amp;C1246)*86400,"")/VALUE(SUBSTITUTE(B1246,"K","")),0),60),"00"),""))</f>
        <v/>
      </c>
      <c r="G1246" s="21">
        <f>IF(A1246="","",IF(COUNTIF(Atletas!$A$2:$A$302,A1246)&gt;0,"Sí","No"))</f>
        <v/>
      </c>
    </row>
    <row r="1247">
      <c r="A1247" s="17" t="n"/>
      <c r="B1247" s="17" t="n"/>
      <c r="C1247" s="18" t="n"/>
      <c r="D1247" s="19" t="n"/>
      <c r="E1247" s="17" t="n"/>
      <c r="F1247" s="21">
        <f>IF(OR(B1247="",C1247=""),"",IFERROR(INT(ROUND(IFERROR(TIMEVALUE(IF(LEN(C1247)-LEN(SUBSTITUTE(C1247,":",""))=2,"","0:")&amp;C1247)*86400,"")/VALUE(SUBSTITUTE(B1247,"K","")),0)/60)&amp;":"&amp;TEXT(MOD(ROUND(IFERROR(TIMEVALUE(IF(LEN(C1247)-LEN(SUBSTITUTE(C1247,":",""))=2,"","0:")&amp;C1247)*86400,"")/VALUE(SUBSTITUTE(B1247,"K","")),0),60),"00"),""))</f>
        <v/>
      </c>
      <c r="G1247" s="21">
        <f>IF(A1247="","",IF(COUNTIF(Atletas!$A$2:$A$302,A1247)&gt;0,"Sí","No"))</f>
        <v/>
      </c>
    </row>
    <row r="1248">
      <c r="A1248" s="17" t="n"/>
      <c r="B1248" s="17" t="n"/>
      <c r="C1248" s="18" t="n"/>
      <c r="D1248" s="19" t="n"/>
      <c r="E1248" s="17" t="n"/>
      <c r="F1248" s="21">
        <f>IF(OR(B1248="",C1248=""),"",IFERROR(INT(ROUND(IFERROR(TIMEVALUE(IF(LEN(C1248)-LEN(SUBSTITUTE(C1248,":",""))=2,"","0:")&amp;C1248)*86400,"")/VALUE(SUBSTITUTE(B1248,"K","")),0)/60)&amp;":"&amp;TEXT(MOD(ROUND(IFERROR(TIMEVALUE(IF(LEN(C1248)-LEN(SUBSTITUTE(C1248,":",""))=2,"","0:")&amp;C1248)*86400,"")/VALUE(SUBSTITUTE(B1248,"K","")),0),60),"00"),""))</f>
        <v/>
      </c>
      <c r="G1248" s="21">
        <f>IF(A1248="","",IF(COUNTIF(Atletas!$A$2:$A$302,A1248)&gt;0,"Sí","No"))</f>
        <v/>
      </c>
    </row>
    <row r="1249">
      <c r="A1249" s="17" t="n"/>
      <c r="B1249" s="17" t="n"/>
      <c r="C1249" s="18" t="n"/>
      <c r="D1249" s="19" t="n"/>
      <c r="E1249" s="17" t="n"/>
      <c r="F1249" s="21">
        <f>IF(OR(B1249="",C1249=""),"",IFERROR(INT(ROUND(IFERROR(TIMEVALUE(IF(LEN(C1249)-LEN(SUBSTITUTE(C1249,":",""))=2,"","0:")&amp;C1249)*86400,"")/VALUE(SUBSTITUTE(B1249,"K","")),0)/60)&amp;":"&amp;TEXT(MOD(ROUND(IFERROR(TIMEVALUE(IF(LEN(C1249)-LEN(SUBSTITUTE(C1249,":",""))=2,"","0:")&amp;C1249)*86400,"")/VALUE(SUBSTITUTE(B1249,"K","")),0),60),"00"),""))</f>
        <v/>
      </c>
      <c r="G1249" s="21">
        <f>IF(A1249="","",IF(COUNTIF(Atletas!$A$2:$A$302,A1249)&gt;0,"Sí","No"))</f>
        <v/>
      </c>
    </row>
    <row r="1250">
      <c r="A1250" s="17" t="n"/>
      <c r="B1250" s="17" t="n"/>
      <c r="C1250" s="18" t="n"/>
      <c r="D1250" s="19" t="n"/>
      <c r="E1250" s="17" t="n"/>
      <c r="F1250" s="21">
        <f>IF(OR(B1250="",C1250=""),"",IFERROR(INT(ROUND(IFERROR(TIMEVALUE(IF(LEN(C1250)-LEN(SUBSTITUTE(C1250,":",""))=2,"","0:")&amp;C1250)*86400,"")/VALUE(SUBSTITUTE(B1250,"K","")),0)/60)&amp;":"&amp;TEXT(MOD(ROUND(IFERROR(TIMEVALUE(IF(LEN(C1250)-LEN(SUBSTITUTE(C1250,":",""))=2,"","0:")&amp;C1250)*86400,"")/VALUE(SUBSTITUTE(B1250,"K","")),0),60),"00"),""))</f>
        <v/>
      </c>
      <c r="G1250" s="21">
        <f>IF(A1250="","",IF(COUNTIF(Atletas!$A$2:$A$302,A1250)&gt;0,"Sí","No"))</f>
        <v/>
      </c>
    </row>
    <row r="1251">
      <c r="A1251" s="17" t="n"/>
      <c r="B1251" s="17" t="n"/>
      <c r="C1251" s="18" t="n"/>
      <c r="D1251" s="19" t="n"/>
      <c r="E1251" s="17" t="n"/>
      <c r="F1251" s="21">
        <f>IF(OR(B1251="",C1251=""),"",IFERROR(INT(ROUND(IFERROR(TIMEVALUE(IF(LEN(C1251)-LEN(SUBSTITUTE(C1251,":",""))=2,"","0:")&amp;C1251)*86400,"")/VALUE(SUBSTITUTE(B1251,"K","")),0)/60)&amp;":"&amp;TEXT(MOD(ROUND(IFERROR(TIMEVALUE(IF(LEN(C1251)-LEN(SUBSTITUTE(C1251,":",""))=2,"","0:")&amp;C1251)*86400,"")/VALUE(SUBSTITUTE(B1251,"K","")),0),60),"00"),""))</f>
        <v/>
      </c>
      <c r="G1251" s="21">
        <f>IF(A1251="","",IF(COUNTIF(Atletas!$A$2:$A$302,A1251)&gt;0,"Sí","No"))</f>
        <v/>
      </c>
    </row>
    <row r="1252">
      <c r="A1252" s="17" t="n"/>
      <c r="B1252" s="17" t="n"/>
      <c r="C1252" s="18" t="n"/>
      <c r="D1252" s="19" t="n"/>
      <c r="E1252" s="17" t="n"/>
      <c r="F1252" s="21">
        <f>IF(OR(B1252="",C1252=""),"",IFERROR(INT(ROUND(IFERROR(TIMEVALUE(IF(LEN(C1252)-LEN(SUBSTITUTE(C1252,":",""))=2,"","0:")&amp;C1252)*86400,"")/VALUE(SUBSTITUTE(B1252,"K","")),0)/60)&amp;":"&amp;TEXT(MOD(ROUND(IFERROR(TIMEVALUE(IF(LEN(C1252)-LEN(SUBSTITUTE(C1252,":",""))=2,"","0:")&amp;C1252)*86400,"")/VALUE(SUBSTITUTE(B1252,"K","")),0),60),"00"),""))</f>
        <v/>
      </c>
      <c r="G1252" s="21">
        <f>IF(A1252="","",IF(COUNTIF(Atletas!$A$2:$A$302,A1252)&gt;0,"Sí","No"))</f>
        <v/>
      </c>
    </row>
    <row r="1253">
      <c r="A1253" s="17" t="n"/>
      <c r="B1253" s="17" t="n"/>
      <c r="C1253" s="18" t="n"/>
      <c r="D1253" s="19" t="n"/>
      <c r="E1253" s="17" t="n"/>
      <c r="F1253" s="21">
        <f>IF(OR(B1253="",C1253=""),"",IFERROR(INT(ROUND(IFERROR(TIMEVALUE(IF(LEN(C1253)-LEN(SUBSTITUTE(C1253,":",""))=2,"","0:")&amp;C1253)*86400,"")/VALUE(SUBSTITUTE(B1253,"K","")),0)/60)&amp;":"&amp;TEXT(MOD(ROUND(IFERROR(TIMEVALUE(IF(LEN(C1253)-LEN(SUBSTITUTE(C1253,":",""))=2,"","0:")&amp;C1253)*86400,"")/VALUE(SUBSTITUTE(B1253,"K","")),0),60),"00"),""))</f>
        <v/>
      </c>
      <c r="G1253" s="21">
        <f>IF(A1253="","",IF(COUNTIF(Atletas!$A$2:$A$302,A1253)&gt;0,"Sí","No"))</f>
        <v/>
      </c>
    </row>
    <row r="1254">
      <c r="A1254" s="17" t="n"/>
      <c r="B1254" s="17" t="n"/>
      <c r="C1254" s="18" t="n"/>
      <c r="D1254" s="19" t="n"/>
      <c r="E1254" s="17" t="n"/>
      <c r="F1254" s="21">
        <f>IF(OR(B1254="",C1254=""),"",IFERROR(INT(ROUND(IFERROR(TIMEVALUE(IF(LEN(C1254)-LEN(SUBSTITUTE(C1254,":",""))=2,"","0:")&amp;C1254)*86400,"")/VALUE(SUBSTITUTE(B1254,"K","")),0)/60)&amp;":"&amp;TEXT(MOD(ROUND(IFERROR(TIMEVALUE(IF(LEN(C1254)-LEN(SUBSTITUTE(C1254,":",""))=2,"","0:")&amp;C1254)*86400,"")/VALUE(SUBSTITUTE(B1254,"K","")),0),60),"00"),""))</f>
        <v/>
      </c>
      <c r="G1254" s="21">
        <f>IF(A1254="","",IF(COUNTIF(Atletas!$A$2:$A$302,A1254)&gt;0,"Sí","No"))</f>
        <v/>
      </c>
    </row>
    <row r="1255">
      <c r="A1255" s="17" t="n"/>
      <c r="B1255" s="17" t="n"/>
      <c r="C1255" s="18" t="n"/>
      <c r="D1255" s="19" t="n"/>
      <c r="E1255" s="17" t="n"/>
      <c r="F1255" s="21">
        <f>IF(OR(B1255="",C1255=""),"",IFERROR(INT(ROUND(IFERROR(TIMEVALUE(IF(LEN(C1255)-LEN(SUBSTITUTE(C1255,":",""))=2,"","0:")&amp;C1255)*86400,"")/VALUE(SUBSTITUTE(B1255,"K","")),0)/60)&amp;":"&amp;TEXT(MOD(ROUND(IFERROR(TIMEVALUE(IF(LEN(C1255)-LEN(SUBSTITUTE(C1255,":",""))=2,"","0:")&amp;C1255)*86400,"")/VALUE(SUBSTITUTE(B1255,"K","")),0),60),"00"),""))</f>
        <v/>
      </c>
      <c r="G1255" s="21">
        <f>IF(A1255="","",IF(COUNTIF(Atletas!$A$2:$A$302,A1255)&gt;0,"Sí","No"))</f>
        <v/>
      </c>
    </row>
    <row r="1256">
      <c r="A1256" s="17" t="n"/>
      <c r="B1256" s="17" t="n"/>
      <c r="C1256" s="18" t="n"/>
      <c r="D1256" s="19" t="n"/>
      <c r="E1256" s="17" t="n"/>
      <c r="F1256" s="21">
        <f>IF(OR(B1256="",C1256=""),"",IFERROR(INT(ROUND(IFERROR(TIMEVALUE(IF(LEN(C1256)-LEN(SUBSTITUTE(C1256,":",""))=2,"","0:")&amp;C1256)*86400,"")/VALUE(SUBSTITUTE(B1256,"K","")),0)/60)&amp;":"&amp;TEXT(MOD(ROUND(IFERROR(TIMEVALUE(IF(LEN(C1256)-LEN(SUBSTITUTE(C1256,":",""))=2,"","0:")&amp;C1256)*86400,"")/VALUE(SUBSTITUTE(B1256,"K","")),0),60),"00"),""))</f>
        <v/>
      </c>
      <c r="G1256" s="21">
        <f>IF(A1256="","",IF(COUNTIF(Atletas!$A$2:$A$302,A1256)&gt;0,"Sí","No"))</f>
        <v/>
      </c>
    </row>
    <row r="1257">
      <c r="A1257" s="17" t="n"/>
      <c r="B1257" s="17" t="n"/>
      <c r="C1257" s="18" t="n"/>
      <c r="D1257" s="19" t="n"/>
      <c r="E1257" s="17" t="n"/>
      <c r="F1257" s="21">
        <f>IF(OR(B1257="",C1257=""),"",IFERROR(INT(ROUND(IFERROR(TIMEVALUE(IF(LEN(C1257)-LEN(SUBSTITUTE(C1257,":",""))=2,"","0:")&amp;C1257)*86400,"")/VALUE(SUBSTITUTE(B1257,"K","")),0)/60)&amp;":"&amp;TEXT(MOD(ROUND(IFERROR(TIMEVALUE(IF(LEN(C1257)-LEN(SUBSTITUTE(C1257,":",""))=2,"","0:")&amp;C1257)*86400,"")/VALUE(SUBSTITUTE(B1257,"K","")),0),60),"00"),""))</f>
        <v/>
      </c>
      <c r="G1257" s="21">
        <f>IF(A1257="","",IF(COUNTIF(Atletas!$A$2:$A$302,A1257)&gt;0,"Sí","No"))</f>
        <v/>
      </c>
    </row>
    <row r="1258">
      <c r="A1258" s="17" t="n"/>
      <c r="B1258" s="17" t="n"/>
      <c r="C1258" s="18" t="n"/>
      <c r="D1258" s="19" t="n"/>
      <c r="E1258" s="17" t="n"/>
      <c r="F1258" s="21">
        <f>IF(OR(B1258="",C1258=""),"",IFERROR(INT(ROUND(IFERROR(TIMEVALUE(IF(LEN(C1258)-LEN(SUBSTITUTE(C1258,":",""))=2,"","0:")&amp;C1258)*86400,"")/VALUE(SUBSTITUTE(B1258,"K","")),0)/60)&amp;":"&amp;TEXT(MOD(ROUND(IFERROR(TIMEVALUE(IF(LEN(C1258)-LEN(SUBSTITUTE(C1258,":",""))=2,"","0:")&amp;C1258)*86400,"")/VALUE(SUBSTITUTE(B1258,"K","")),0),60),"00"),""))</f>
        <v/>
      </c>
      <c r="G1258" s="21">
        <f>IF(A1258="","",IF(COUNTIF(Atletas!$A$2:$A$302,A1258)&gt;0,"Sí","No"))</f>
        <v/>
      </c>
    </row>
    <row r="1259">
      <c r="A1259" s="17" t="n"/>
      <c r="B1259" s="17" t="n"/>
      <c r="C1259" s="18" t="n"/>
      <c r="D1259" s="19" t="n"/>
      <c r="E1259" s="17" t="n"/>
      <c r="F1259" s="21">
        <f>IF(OR(B1259="",C1259=""),"",IFERROR(INT(ROUND(IFERROR(TIMEVALUE(IF(LEN(C1259)-LEN(SUBSTITUTE(C1259,":",""))=2,"","0:")&amp;C1259)*86400,"")/VALUE(SUBSTITUTE(B1259,"K","")),0)/60)&amp;":"&amp;TEXT(MOD(ROUND(IFERROR(TIMEVALUE(IF(LEN(C1259)-LEN(SUBSTITUTE(C1259,":",""))=2,"","0:")&amp;C1259)*86400,"")/VALUE(SUBSTITUTE(B1259,"K","")),0),60),"00"),""))</f>
        <v/>
      </c>
      <c r="G1259" s="21">
        <f>IF(A1259="","",IF(COUNTIF(Atletas!$A$2:$A$302,A1259)&gt;0,"Sí","No"))</f>
        <v/>
      </c>
    </row>
    <row r="1260">
      <c r="A1260" s="17" t="n"/>
      <c r="B1260" s="17" t="n"/>
      <c r="C1260" s="18" t="n"/>
      <c r="D1260" s="19" t="n"/>
      <c r="E1260" s="17" t="n"/>
      <c r="F1260" s="21">
        <f>IF(OR(B1260="",C1260=""),"",IFERROR(INT(ROUND(IFERROR(TIMEVALUE(IF(LEN(C1260)-LEN(SUBSTITUTE(C1260,":",""))=2,"","0:")&amp;C1260)*86400,"")/VALUE(SUBSTITUTE(B1260,"K","")),0)/60)&amp;":"&amp;TEXT(MOD(ROUND(IFERROR(TIMEVALUE(IF(LEN(C1260)-LEN(SUBSTITUTE(C1260,":",""))=2,"","0:")&amp;C1260)*86400,"")/VALUE(SUBSTITUTE(B1260,"K","")),0),60),"00"),""))</f>
        <v/>
      </c>
      <c r="G1260" s="21">
        <f>IF(A1260="","",IF(COUNTIF(Atletas!$A$2:$A$302,A1260)&gt;0,"Sí","No"))</f>
        <v/>
      </c>
    </row>
    <row r="1261">
      <c r="A1261" s="17" t="n"/>
      <c r="B1261" s="17" t="n"/>
      <c r="C1261" s="18" t="n"/>
      <c r="D1261" s="19" t="n"/>
      <c r="E1261" s="17" t="n"/>
      <c r="F1261" s="21">
        <f>IF(OR(B1261="",C1261=""),"",IFERROR(INT(ROUND(IFERROR(TIMEVALUE(IF(LEN(C1261)-LEN(SUBSTITUTE(C1261,":",""))=2,"","0:")&amp;C1261)*86400,"")/VALUE(SUBSTITUTE(B1261,"K","")),0)/60)&amp;":"&amp;TEXT(MOD(ROUND(IFERROR(TIMEVALUE(IF(LEN(C1261)-LEN(SUBSTITUTE(C1261,":",""))=2,"","0:")&amp;C1261)*86400,"")/VALUE(SUBSTITUTE(B1261,"K","")),0),60),"00"),""))</f>
        <v/>
      </c>
      <c r="G1261" s="21">
        <f>IF(A1261="","",IF(COUNTIF(Atletas!$A$2:$A$302,A1261)&gt;0,"Sí","No"))</f>
        <v/>
      </c>
    </row>
    <row r="1262">
      <c r="A1262" s="17" t="n"/>
      <c r="B1262" s="17" t="n"/>
      <c r="C1262" s="18" t="n"/>
      <c r="D1262" s="19" t="n"/>
      <c r="E1262" s="17" t="n"/>
      <c r="F1262" s="21">
        <f>IF(OR(B1262="",C1262=""),"",IFERROR(INT(ROUND(IFERROR(TIMEVALUE(IF(LEN(C1262)-LEN(SUBSTITUTE(C1262,":",""))=2,"","0:")&amp;C1262)*86400,"")/VALUE(SUBSTITUTE(B1262,"K","")),0)/60)&amp;":"&amp;TEXT(MOD(ROUND(IFERROR(TIMEVALUE(IF(LEN(C1262)-LEN(SUBSTITUTE(C1262,":",""))=2,"","0:")&amp;C1262)*86400,"")/VALUE(SUBSTITUTE(B1262,"K","")),0),60),"00"),""))</f>
        <v/>
      </c>
      <c r="G1262" s="21">
        <f>IF(A1262="","",IF(COUNTIF(Atletas!$A$2:$A$302,A1262)&gt;0,"Sí","No"))</f>
        <v/>
      </c>
    </row>
    <row r="1263">
      <c r="A1263" s="17" t="n"/>
      <c r="B1263" s="17" t="n"/>
      <c r="C1263" s="18" t="n"/>
      <c r="D1263" s="19" t="n"/>
      <c r="E1263" s="17" t="n"/>
      <c r="F1263" s="21">
        <f>IF(OR(B1263="",C1263=""),"",IFERROR(INT(ROUND(IFERROR(TIMEVALUE(IF(LEN(C1263)-LEN(SUBSTITUTE(C1263,":",""))=2,"","0:")&amp;C1263)*86400,"")/VALUE(SUBSTITUTE(B1263,"K","")),0)/60)&amp;":"&amp;TEXT(MOD(ROUND(IFERROR(TIMEVALUE(IF(LEN(C1263)-LEN(SUBSTITUTE(C1263,":",""))=2,"","0:")&amp;C1263)*86400,"")/VALUE(SUBSTITUTE(B1263,"K","")),0),60),"00"),""))</f>
        <v/>
      </c>
      <c r="G1263" s="21">
        <f>IF(A1263="","",IF(COUNTIF(Atletas!$A$2:$A$302,A1263)&gt;0,"Sí","No"))</f>
        <v/>
      </c>
    </row>
    <row r="1264">
      <c r="A1264" s="17" t="n"/>
      <c r="B1264" s="17" t="n"/>
      <c r="C1264" s="18" t="n"/>
      <c r="D1264" s="19" t="n"/>
      <c r="E1264" s="17" t="n"/>
      <c r="F1264" s="21">
        <f>IF(OR(B1264="",C1264=""),"",IFERROR(INT(ROUND(IFERROR(TIMEVALUE(IF(LEN(C1264)-LEN(SUBSTITUTE(C1264,":",""))=2,"","0:")&amp;C1264)*86400,"")/VALUE(SUBSTITUTE(B1264,"K","")),0)/60)&amp;":"&amp;TEXT(MOD(ROUND(IFERROR(TIMEVALUE(IF(LEN(C1264)-LEN(SUBSTITUTE(C1264,":",""))=2,"","0:")&amp;C1264)*86400,"")/VALUE(SUBSTITUTE(B1264,"K","")),0),60),"00"),""))</f>
        <v/>
      </c>
      <c r="G1264" s="21">
        <f>IF(A1264="","",IF(COUNTIF(Atletas!$A$2:$A$302,A1264)&gt;0,"Sí","No"))</f>
        <v/>
      </c>
    </row>
    <row r="1265">
      <c r="A1265" s="17" t="n"/>
      <c r="B1265" s="17" t="n"/>
      <c r="C1265" s="18" t="n"/>
      <c r="D1265" s="19" t="n"/>
      <c r="E1265" s="17" t="n"/>
      <c r="F1265" s="21">
        <f>IF(OR(B1265="",C1265=""),"",IFERROR(INT(ROUND(IFERROR(TIMEVALUE(IF(LEN(C1265)-LEN(SUBSTITUTE(C1265,":",""))=2,"","0:")&amp;C1265)*86400,"")/VALUE(SUBSTITUTE(B1265,"K","")),0)/60)&amp;":"&amp;TEXT(MOD(ROUND(IFERROR(TIMEVALUE(IF(LEN(C1265)-LEN(SUBSTITUTE(C1265,":",""))=2,"","0:")&amp;C1265)*86400,"")/VALUE(SUBSTITUTE(B1265,"K","")),0),60),"00"),""))</f>
        <v/>
      </c>
      <c r="G1265" s="21">
        <f>IF(A1265="","",IF(COUNTIF(Atletas!$A$2:$A$302,A1265)&gt;0,"Sí","No"))</f>
        <v/>
      </c>
    </row>
    <row r="1266">
      <c r="A1266" s="17" t="n"/>
      <c r="B1266" s="17" t="n"/>
      <c r="C1266" s="18" t="n"/>
      <c r="D1266" s="19" t="n"/>
      <c r="E1266" s="17" t="n"/>
      <c r="F1266" s="21">
        <f>IF(OR(B1266="",C1266=""),"",IFERROR(INT(ROUND(IFERROR(TIMEVALUE(IF(LEN(C1266)-LEN(SUBSTITUTE(C1266,":",""))=2,"","0:")&amp;C1266)*86400,"")/VALUE(SUBSTITUTE(B1266,"K","")),0)/60)&amp;":"&amp;TEXT(MOD(ROUND(IFERROR(TIMEVALUE(IF(LEN(C1266)-LEN(SUBSTITUTE(C1266,":",""))=2,"","0:")&amp;C1266)*86400,"")/VALUE(SUBSTITUTE(B1266,"K","")),0),60),"00"),""))</f>
        <v/>
      </c>
      <c r="G1266" s="21">
        <f>IF(A1266="","",IF(COUNTIF(Atletas!$A$2:$A$302,A1266)&gt;0,"Sí","No"))</f>
        <v/>
      </c>
    </row>
    <row r="1267">
      <c r="A1267" s="17" t="n"/>
      <c r="B1267" s="17" t="n"/>
      <c r="C1267" s="18" t="n"/>
      <c r="D1267" s="19" t="n"/>
      <c r="E1267" s="17" t="n"/>
      <c r="F1267" s="21">
        <f>IF(OR(B1267="",C1267=""),"",IFERROR(INT(ROUND(IFERROR(TIMEVALUE(IF(LEN(C1267)-LEN(SUBSTITUTE(C1267,":",""))=2,"","0:")&amp;C1267)*86400,"")/VALUE(SUBSTITUTE(B1267,"K","")),0)/60)&amp;":"&amp;TEXT(MOD(ROUND(IFERROR(TIMEVALUE(IF(LEN(C1267)-LEN(SUBSTITUTE(C1267,":",""))=2,"","0:")&amp;C1267)*86400,"")/VALUE(SUBSTITUTE(B1267,"K","")),0),60),"00"),""))</f>
        <v/>
      </c>
      <c r="G1267" s="21">
        <f>IF(A1267="","",IF(COUNTIF(Atletas!$A$2:$A$302,A1267)&gt;0,"Sí","No"))</f>
        <v/>
      </c>
    </row>
    <row r="1268">
      <c r="A1268" s="17" t="n"/>
      <c r="B1268" s="17" t="n"/>
      <c r="C1268" s="18" t="n"/>
      <c r="D1268" s="19" t="n"/>
      <c r="E1268" s="17" t="n"/>
      <c r="F1268" s="21">
        <f>IF(OR(B1268="",C1268=""),"",IFERROR(INT(ROUND(IFERROR(TIMEVALUE(IF(LEN(C1268)-LEN(SUBSTITUTE(C1268,":",""))=2,"","0:")&amp;C1268)*86400,"")/VALUE(SUBSTITUTE(B1268,"K","")),0)/60)&amp;":"&amp;TEXT(MOD(ROUND(IFERROR(TIMEVALUE(IF(LEN(C1268)-LEN(SUBSTITUTE(C1268,":",""))=2,"","0:")&amp;C1268)*86400,"")/VALUE(SUBSTITUTE(B1268,"K","")),0),60),"00"),""))</f>
        <v/>
      </c>
      <c r="G1268" s="21">
        <f>IF(A1268="","",IF(COUNTIF(Atletas!$A$2:$A$302,A1268)&gt;0,"Sí","No"))</f>
        <v/>
      </c>
    </row>
    <row r="1269">
      <c r="A1269" s="17" t="n"/>
      <c r="B1269" s="17" t="n"/>
      <c r="C1269" s="18" t="n"/>
      <c r="D1269" s="19" t="n"/>
      <c r="E1269" s="17" t="n"/>
      <c r="F1269" s="21">
        <f>IF(OR(B1269="",C1269=""),"",IFERROR(INT(ROUND(IFERROR(TIMEVALUE(IF(LEN(C1269)-LEN(SUBSTITUTE(C1269,":",""))=2,"","0:")&amp;C1269)*86400,"")/VALUE(SUBSTITUTE(B1269,"K","")),0)/60)&amp;":"&amp;TEXT(MOD(ROUND(IFERROR(TIMEVALUE(IF(LEN(C1269)-LEN(SUBSTITUTE(C1269,":",""))=2,"","0:")&amp;C1269)*86400,"")/VALUE(SUBSTITUTE(B1269,"K","")),0),60),"00"),""))</f>
        <v/>
      </c>
      <c r="G1269" s="21">
        <f>IF(A1269="","",IF(COUNTIF(Atletas!$A$2:$A$302,A1269)&gt;0,"Sí","No"))</f>
        <v/>
      </c>
    </row>
    <row r="1270">
      <c r="A1270" s="17" t="n"/>
      <c r="B1270" s="17" t="n"/>
      <c r="C1270" s="18" t="n"/>
      <c r="D1270" s="19" t="n"/>
      <c r="E1270" s="17" t="n"/>
      <c r="F1270" s="21">
        <f>IF(OR(B1270="",C1270=""),"",IFERROR(INT(ROUND(IFERROR(TIMEVALUE(IF(LEN(C1270)-LEN(SUBSTITUTE(C1270,":",""))=2,"","0:")&amp;C1270)*86400,"")/VALUE(SUBSTITUTE(B1270,"K","")),0)/60)&amp;":"&amp;TEXT(MOD(ROUND(IFERROR(TIMEVALUE(IF(LEN(C1270)-LEN(SUBSTITUTE(C1270,":",""))=2,"","0:")&amp;C1270)*86400,"")/VALUE(SUBSTITUTE(B1270,"K","")),0),60),"00"),""))</f>
        <v/>
      </c>
      <c r="G1270" s="21">
        <f>IF(A1270="","",IF(COUNTIF(Atletas!$A$2:$A$302,A1270)&gt;0,"Sí","No"))</f>
        <v/>
      </c>
    </row>
    <row r="1271">
      <c r="A1271" s="17" t="n"/>
      <c r="B1271" s="17" t="n"/>
      <c r="C1271" s="18" t="n"/>
      <c r="D1271" s="19" t="n"/>
      <c r="E1271" s="17" t="n"/>
      <c r="F1271" s="21">
        <f>IF(OR(B1271="",C1271=""),"",IFERROR(INT(ROUND(IFERROR(TIMEVALUE(IF(LEN(C1271)-LEN(SUBSTITUTE(C1271,":",""))=2,"","0:")&amp;C1271)*86400,"")/VALUE(SUBSTITUTE(B1271,"K","")),0)/60)&amp;":"&amp;TEXT(MOD(ROUND(IFERROR(TIMEVALUE(IF(LEN(C1271)-LEN(SUBSTITUTE(C1271,":",""))=2,"","0:")&amp;C1271)*86400,"")/VALUE(SUBSTITUTE(B1271,"K","")),0),60),"00"),""))</f>
        <v/>
      </c>
      <c r="G1271" s="21">
        <f>IF(A1271="","",IF(COUNTIF(Atletas!$A$2:$A$302,A1271)&gt;0,"Sí","No"))</f>
        <v/>
      </c>
    </row>
    <row r="1272">
      <c r="A1272" s="17" t="n"/>
      <c r="B1272" s="17" t="n"/>
      <c r="C1272" s="18" t="n"/>
      <c r="D1272" s="19" t="n"/>
      <c r="E1272" s="17" t="n"/>
      <c r="F1272" s="21">
        <f>IF(OR(B1272="",C1272=""),"",IFERROR(INT(ROUND(IFERROR(TIMEVALUE(IF(LEN(C1272)-LEN(SUBSTITUTE(C1272,":",""))=2,"","0:")&amp;C1272)*86400,"")/VALUE(SUBSTITUTE(B1272,"K","")),0)/60)&amp;":"&amp;TEXT(MOD(ROUND(IFERROR(TIMEVALUE(IF(LEN(C1272)-LEN(SUBSTITUTE(C1272,":",""))=2,"","0:")&amp;C1272)*86400,"")/VALUE(SUBSTITUTE(B1272,"K","")),0),60),"00"),""))</f>
        <v/>
      </c>
      <c r="G1272" s="21">
        <f>IF(A1272="","",IF(COUNTIF(Atletas!$A$2:$A$302,A1272)&gt;0,"Sí","No"))</f>
        <v/>
      </c>
    </row>
    <row r="1273">
      <c r="A1273" s="17" t="n"/>
      <c r="B1273" s="17" t="n"/>
      <c r="C1273" s="18" t="n"/>
      <c r="D1273" s="19" t="n"/>
      <c r="E1273" s="17" t="n"/>
      <c r="F1273" s="21">
        <f>IF(OR(B1273="",C1273=""),"",IFERROR(INT(ROUND(IFERROR(TIMEVALUE(IF(LEN(C1273)-LEN(SUBSTITUTE(C1273,":",""))=2,"","0:")&amp;C1273)*86400,"")/VALUE(SUBSTITUTE(B1273,"K","")),0)/60)&amp;":"&amp;TEXT(MOD(ROUND(IFERROR(TIMEVALUE(IF(LEN(C1273)-LEN(SUBSTITUTE(C1273,":",""))=2,"","0:")&amp;C1273)*86400,"")/VALUE(SUBSTITUTE(B1273,"K","")),0),60),"00"),""))</f>
        <v/>
      </c>
      <c r="G1273" s="21">
        <f>IF(A1273="","",IF(COUNTIF(Atletas!$A$2:$A$302,A1273)&gt;0,"Sí","No"))</f>
        <v/>
      </c>
    </row>
    <row r="1274">
      <c r="A1274" s="17" t="n"/>
      <c r="B1274" s="17" t="n"/>
      <c r="C1274" s="18" t="n"/>
      <c r="D1274" s="19" t="n"/>
      <c r="E1274" s="17" t="n"/>
      <c r="F1274" s="21">
        <f>IF(OR(B1274="",C1274=""),"",IFERROR(INT(ROUND(IFERROR(TIMEVALUE(IF(LEN(C1274)-LEN(SUBSTITUTE(C1274,":",""))=2,"","0:")&amp;C1274)*86400,"")/VALUE(SUBSTITUTE(B1274,"K","")),0)/60)&amp;":"&amp;TEXT(MOD(ROUND(IFERROR(TIMEVALUE(IF(LEN(C1274)-LEN(SUBSTITUTE(C1274,":",""))=2,"","0:")&amp;C1274)*86400,"")/VALUE(SUBSTITUTE(B1274,"K","")),0),60),"00"),""))</f>
        <v/>
      </c>
      <c r="G1274" s="21">
        <f>IF(A1274="","",IF(COUNTIF(Atletas!$A$2:$A$302,A1274)&gt;0,"Sí","No"))</f>
        <v/>
      </c>
    </row>
    <row r="1275">
      <c r="A1275" s="17" t="n"/>
      <c r="B1275" s="17" t="n"/>
      <c r="C1275" s="18" t="n"/>
      <c r="D1275" s="19" t="n"/>
      <c r="E1275" s="17" t="n"/>
      <c r="F1275" s="21">
        <f>IF(OR(B1275="",C1275=""),"",IFERROR(INT(ROUND(IFERROR(TIMEVALUE(IF(LEN(C1275)-LEN(SUBSTITUTE(C1275,":",""))=2,"","0:")&amp;C1275)*86400,"")/VALUE(SUBSTITUTE(B1275,"K","")),0)/60)&amp;":"&amp;TEXT(MOD(ROUND(IFERROR(TIMEVALUE(IF(LEN(C1275)-LEN(SUBSTITUTE(C1275,":",""))=2,"","0:")&amp;C1275)*86400,"")/VALUE(SUBSTITUTE(B1275,"K","")),0),60),"00"),""))</f>
        <v/>
      </c>
      <c r="G1275" s="21">
        <f>IF(A1275="","",IF(COUNTIF(Atletas!$A$2:$A$302,A1275)&gt;0,"Sí","No"))</f>
        <v/>
      </c>
    </row>
    <row r="1276">
      <c r="A1276" s="17" t="n"/>
      <c r="B1276" s="17" t="n"/>
      <c r="C1276" s="18" t="n"/>
      <c r="D1276" s="19" t="n"/>
      <c r="E1276" s="17" t="n"/>
      <c r="F1276" s="21">
        <f>IF(OR(B1276="",C1276=""),"",IFERROR(INT(ROUND(IFERROR(TIMEVALUE(IF(LEN(C1276)-LEN(SUBSTITUTE(C1276,":",""))=2,"","0:")&amp;C1276)*86400,"")/VALUE(SUBSTITUTE(B1276,"K","")),0)/60)&amp;":"&amp;TEXT(MOD(ROUND(IFERROR(TIMEVALUE(IF(LEN(C1276)-LEN(SUBSTITUTE(C1276,":",""))=2,"","0:")&amp;C1276)*86400,"")/VALUE(SUBSTITUTE(B1276,"K","")),0),60),"00"),""))</f>
        <v/>
      </c>
      <c r="G1276" s="21">
        <f>IF(A1276="","",IF(COUNTIF(Atletas!$A$2:$A$302,A1276)&gt;0,"Sí","No"))</f>
        <v/>
      </c>
    </row>
    <row r="1277">
      <c r="A1277" s="17" t="n"/>
      <c r="B1277" s="17" t="n"/>
      <c r="C1277" s="18" t="n"/>
      <c r="D1277" s="19" t="n"/>
      <c r="E1277" s="17" t="n"/>
      <c r="F1277" s="21">
        <f>IF(OR(B1277="",C1277=""),"",IFERROR(INT(ROUND(IFERROR(TIMEVALUE(IF(LEN(C1277)-LEN(SUBSTITUTE(C1277,":",""))=2,"","0:")&amp;C1277)*86400,"")/VALUE(SUBSTITUTE(B1277,"K","")),0)/60)&amp;":"&amp;TEXT(MOD(ROUND(IFERROR(TIMEVALUE(IF(LEN(C1277)-LEN(SUBSTITUTE(C1277,":",""))=2,"","0:")&amp;C1277)*86400,"")/VALUE(SUBSTITUTE(B1277,"K","")),0),60),"00"),""))</f>
        <v/>
      </c>
      <c r="G1277" s="21">
        <f>IF(A1277="","",IF(COUNTIF(Atletas!$A$2:$A$302,A1277)&gt;0,"Sí","No"))</f>
        <v/>
      </c>
    </row>
    <row r="1278">
      <c r="A1278" s="17" t="n"/>
      <c r="B1278" s="17" t="n"/>
      <c r="C1278" s="18" t="n"/>
      <c r="D1278" s="19" t="n"/>
      <c r="E1278" s="17" t="n"/>
      <c r="F1278" s="21">
        <f>IF(OR(B1278="",C1278=""),"",IFERROR(INT(ROUND(IFERROR(TIMEVALUE(IF(LEN(C1278)-LEN(SUBSTITUTE(C1278,":",""))=2,"","0:")&amp;C1278)*86400,"")/VALUE(SUBSTITUTE(B1278,"K","")),0)/60)&amp;":"&amp;TEXT(MOD(ROUND(IFERROR(TIMEVALUE(IF(LEN(C1278)-LEN(SUBSTITUTE(C1278,":",""))=2,"","0:")&amp;C1278)*86400,"")/VALUE(SUBSTITUTE(B1278,"K","")),0),60),"00"),""))</f>
        <v/>
      </c>
      <c r="G1278" s="21">
        <f>IF(A1278="","",IF(COUNTIF(Atletas!$A$2:$A$302,A1278)&gt;0,"Sí","No"))</f>
        <v/>
      </c>
    </row>
    <row r="1279">
      <c r="A1279" s="17" t="n"/>
      <c r="B1279" s="17" t="n"/>
      <c r="C1279" s="18" t="n"/>
      <c r="D1279" s="19" t="n"/>
      <c r="E1279" s="17" t="n"/>
      <c r="F1279" s="21">
        <f>IF(OR(B1279="",C1279=""),"",IFERROR(INT(ROUND(IFERROR(TIMEVALUE(IF(LEN(C1279)-LEN(SUBSTITUTE(C1279,":",""))=2,"","0:")&amp;C1279)*86400,"")/VALUE(SUBSTITUTE(B1279,"K","")),0)/60)&amp;":"&amp;TEXT(MOD(ROUND(IFERROR(TIMEVALUE(IF(LEN(C1279)-LEN(SUBSTITUTE(C1279,":",""))=2,"","0:")&amp;C1279)*86400,"")/VALUE(SUBSTITUTE(B1279,"K","")),0),60),"00"),""))</f>
        <v/>
      </c>
      <c r="G1279" s="21">
        <f>IF(A1279="","",IF(COUNTIF(Atletas!$A$2:$A$302,A1279)&gt;0,"Sí","No"))</f>
        <v/>
      </c>
    </row>
    <row r="1280">
      <c r="A1280" s="17" t="n"/>
      <c r="B1280" s="17" t="n"/>
      <c r="C1280" s="18" t="n"/>
      <c r="D1280" s="19" t="n"/>
      <c r="E1280" s="17" t="n"/>
      <c r="F1280" s="21">
        <f>IF(OR(B1280="",C1280=""),"",IFERROR(INT(ROUND(IFERROR(TIMEVALUE(IF(LEN(C1280)-LEN(SUBSTITUTE(C1280,":",""))=2,"","0:")&amp;C1280)*86400,"")/VALUE(SUBSTITUTE(B1280,"K","")),0)/60)&amp;":"&amp;TEXT(MOD(ROUND(IFERROR(TIMEVALUE(IF(LEN(C1280)-LEN(SUBSTITUTE(C1280,":",""))=2,"","0:")&amp;C1280)*86400,"")/VALUE(SUBSTITUTE(B1280,"K","")),0),60),"00"),""))</f>
        <v/>
      </c>
      <c r="G1280" s="21">
        <f>IF(A1280="","",IF(COUNTIF(Atletas!$A$2:$A$302,A1280)&gt;0,"Sí","No"))</f>
        <v/>
      </c>
    </row>
    <row r="1281">
      <c r="A1281" s="17" t="n"/>
      <c r="B1281" s="17" t="n"/>
      <c r="C1281" s="18" t="n"/>
      <c r="D1281" s="19" t="n"/>
      <c r="E1281" s="17" t="n"/>
      <c r="F1281" s="21">
        <f>IF(OR(B1281="",C1281=""),"",IFERROR(INT(ROUND(IFERROR(TIMEVALUE(IF(LEN(C1281)-LEN(SUBSTITUTE(C1281,":",""))=2,"","0:")&amp;C1281)*86400,"")/VALUE(SUBSTITUTE(B1281,"K","")),0)/60)&amp;":"&amp;TEXT(MOD(ROUND(IFERROR(TIMEVALUE(IF(LEN(C1281)-LEN(SUBSTITUTE(C1281,":",""))=2,"","0:")&amp;C1281)*86400,"")/VALUE(SUBSTITUTE(B1281,"K","")),0),60),"00"),""))</f>
        <v/>
      </c>
      <c r="G1281" s="21">
        <f>IF(A1281="","",IF(COUNTIF(Atletas!$A$2:$A$302,A1281)&gt;0,"Sí","No"))</f>
        <v/>
      </c>
    </row>
    <row r="1282">
      <c r="A1282" s="17" t="n"/>
      <c r="B1282" s="17" t="n"/>
      <c r="C1282" s="18" t="n"/>
      <c r="D1282" s="19" t="n"/>
      <c r="E1282" s="17" t="n"/>
      <c r="F1282" s="21">
        <f>IF(OR(B1282="",C1282=""),"",IFERROR(INT(ROUND(IFERROR(TIMEVALUE(IF(LEN(C1282)-LEN(SUBSTITUTE(C1282,":",""))=2,"","0:")&amp;C1282)*86400,"")/VALUE(SUBSTITUTE(B1282,"K","")),0)/60)&amp;":"&amp;TEXT(MOD(ROUND(IFERROR(TIMEVALUE(IF(LEN(C1282)-LEN(SUBSTITUTE(C1282,":",""))=2,"","0:")&amp;C1282)*86400,"")/VALUE(SUBSTITUTE(B1282,"K","")),0),60),"00"),""))</f>
        <v/>
      </c>
      <c r="G1282" s="21">
        <f>IF(A1282="","",IF(COUNTIF(Atletas!$A$2:$A$302,A1282)&gt;0,"Sí","No"))</f>
        <v/>
      </c>
    </row>
    <row r="1283">
      <c r="A1283" s="17" t="n"/>
      <c r="B1283" s="17" t="n"/>
      <c r="C1283" s="18" t="n"/>
      <c r="D1283" s="19" t="n"/>
      <c r="E1283" s="17" t="n"/>
      <c r="F1283" s="21">
        <f>IF(OR(B1283="",C1283=""),"",IFERROR(INT(ROUND(IFERROR(TIMEVALUE(IF(LEN(C1283)-LEN(SUBSTITUTE(C1283,":",""))=2,"","0:")&amp;C1283)*86400,"")/VALUE(SUBSTITUTE(B1283,"K","")),0)/60)&amp;":"&amp;TEXT(MOD(ROUND(IFERROR(TIMEVALUE(IF(LEN(C1283)-LEN(SUBSTITUTE(C1283,":",""))=2,"","0:")&amp;C1283)*86400,"")/VALUE(SUBSTITUTE(B1283,"K","")),0),60),"00"),""))</f>
        <v/>
      </c>
      <c r="G1283" s="21">
        <f>IF(A1283="","",IF(COUNTIF(Atletas!$A$2:$A$302,A1283)&gt;0,"Sí","No"))</f>
        <v/>
      </c>
    </row>
    <row r="1284">
      <c r="A1284" s="17" t="n"/>
      <c r="B1284" s="17" t="n"/>
      <c r="C1284" s="18" t="n"/>
      <c r="D1284" s="19" t="n"/>
      <c r="E1284" s="17" t="n"/>
      <c r="F1284" s="21">
        <f>IF(OR(B1284="",C1284=""),"",IFERROR(INT(ROUND(IFERROR(TIMEVALUE(IF(LEN(C1284)-LEN(SUBSTITUTE(C1284,":",""))=2,"","0:")&amp;C1284)*86400,"")/VALUE(SUBSTITUTE(B1284,"K","")),0)/60)&amp;":"&amp;TEXT(MOD(ROUND(IFERROR(TIMEVALUE(IF(LEN(C1284)-LEN(SUBSTITUTE(C1284,":",""))=2,"","0:")&amp;C1284)*86400,"")/VALUE(SUBSTITUTE(B1284,"K","")),0),60),"00"),""))</f>
        <v/>
      </c>
      <c r="G1284" s="21">
        <f>IF(A1284="","",IF(COUNTIF(Atletas!$A$2:$A$302,A1284)&gt;0,"Sí","No"))</f>
        <v/>
      </c>
    </row>
    <row r="1285">
      <c r="A1285" s="17" t="n"/>
      <c r="B1285" s="17" t="n"/>
      <c r="C1285" s="18" t="n"/>
      <c r="D1285" s="19" t="n"/>
      <c r="E1285" s="17" t="n"/>
      <c r="F1285" s="21">
        <f>IF(OR(B1285="",C1285=""),"",IFERROR(INT(ROUND(IFERROR(TIMEVALUE(IF(LEN(C1285)-LEN(SUBSTITUTE(C1285,":",""))=2,"","0:")&amp;C1285)*86400,"")/VALUE(SUBSTITUTE(B1285,"K","")),0)/60)&amp;":"&amp;TEXT(MOD(ROUND(IFERROR(TIMEVALUE(IF(LEN(C1285)-LEN(SUBSTITUTE(C1285,":",""))=2,"","0:")&amp;C1285)*86400,"")/VALUE(SUBSTITUTE(B1285,"K","")),0),60),"00"),""))</f>
        <v/>
      </c>
      <c r="G1285" s="21">
        <f>IF(A1285="","",IF(COUNTIF(Atletas!$A$2:$A$302,A1285)&gt;0,"Sí","No"))</f>
        <v/>
      </c>
    </row>
    <row r="1286">
      <c r="A1286" s="17" t="n"/>
      <c r="B1286" s="17" t="n"/>
      <c r="C1286" s="18" t="n"/>
      <c r="D1286" s="19" t="n"/>
      <c r="E1286" s="17" t="n"/>
      <c r="F1286" s="21">
        <f>IF(OR(B1286="",C1286=""),"",IFERROR(INT(ROUND(IFERROR(TIMEVALUE(IF(LEN(C1286)-LEN(SUBSTITUTE(C1286,":",""))=2,"","0:")&amp;C1286)*86400,"")/VALUE(SUBSTITUTE(B1286,"K","")),0)/60)&amp;":"&amp;TEXT(MOD(ROUND(IFERROR(TIMEVALUE(IF(LEN(C1286)-LEN(SUBSTITUTE(C1286,":",""))=2,"","0:")&amp;C1286)*86400,"")/VALUE(SUBSTITUTE(B1286,"K","")),0),60),"00"),""))</f>
        <v/>
      </c>
      <c r="G1286" s="21">
        <f>IF(A1286="","",IF(COUNTIF(Atletas!$A$2:$A$302,A1286)&gt;0,"Sí","No"))</f>
        <v/>
      </c>
    </row>
    <row r="1287">
      <c r="A1287" s="17" t="n"/>
      <c r="B1287" s="17" t="n"/>
      <c r="C1287" s="18" t="n"/>
      <c r="D1287" s="19" t="n"/>
      <c r="E1287" s="17" t="n"/>
      <c r="F1287" s="21">
        <f>IF(OR(B1287="",C1287=""),"",IFERROR(INT(ROUND(IFERROR(TIMEVALUE(IF(LEN(C1287)-LEN(SUBSTITUTE(C1287,":",""))=2,"","0:")&amp;C1287)*86400,"")/VALUE(SUBSTITUTE(B1287,"K","")),0)/60)&amp;":"&amp;TEXT(MOD(ROUND(IFERROR(TIMEVALUE(IF(LEN(C1287)-LEN(SUBSTITUTE(C1287,":",""))=2,"","0:")&amp;C1287)*86400,"")/VALUE(SUBSTITUTE(B1287,"K","")),0),60),"00"),""))</f>
        <v/>
      </c>
      <c r="G1287" s="21">
        <f>IF(A1287="","",IF(COUNTIF(Atletas!$A$2:$A$302,A1287)&gt;0,"Sí","No"))</f>
        <v/>
      </c>
    </row>
    <row r="1288">
      <c r="A1288" s="17" t="n"/>
      <c r="B1288" s="17" t="n"/>
      <c r="C1288" s="18" t="n"/>
      <c r="D1288" s="19" t="n"/>
      <c r="E1288" s="17" t="n"/>
      <c r="F1288" s="21">
        <f>IF(OR(B1288="",C1288=""),"",IFERROR(INT(ROUND(IFERROR(TIMEVALUE(IF(LEN(C1288)-LEN(SUBSTITUTE(C1288,":",""))=2,"","0:")&amp;C1288)*86400,"")/VALUE(SUBSTITUTE(B1288,"K","")),0)/60)&amp;":"&amp;TEXT(MOD(ROUND(IFERROR(TIMEVALUE(IF(LEN(C1288)-LEN(SUBSTITUTE(C1288,":",""))=2,"","0:")&amp;C1288)*86400,"")/VALUE(SUBSTITUTE(B1288,"K","")),0),60),"00"),""))</f>
        <v/>
      </c>
      <c r="G1288" s="21">
        <f>IF(A1288="","",IF(COUNTIF(Atletas!$A$2:$A$302,A1288)&gt;0,"Sí","No"))</f>
        <v/>
      </c>
    </row>
    <row r="1289">
      <c r="A1289" s="17" t="n"/>
      <c r="B1289" s="17" t="n"/>
      <c r="C1289" s="18" t="n"/>
      <c r="D1289" s="19" t="n"/>
      <c r="E1289" s="17" t="n"/>
      <c r="F1289" s="21">
        <f>IF(OR(B1289="",C1289=""),"",IFERROR(INT(ROUND(IFERROR(TIMEVALUE(IF(LEN(C1289)-LEN(SUBSTITUTE(C1289,":",""))=2,"","0:")&amp;C1289)*86400,"")/VALUE(SUBSTITUTE(B1289,"K","")),0)/60)&amp;":"&amp;TEXT(MOD(ROUND(IFERROR(TIMEVALUE(IF(LEN(C1289)-LEN(SUBSTITUTE(C1289,":",""))=2,"","0:")&amp;C1289)*86400,"")/VALUE(SUBSTITUTE(B1289,"K","")),0),60),"00"),""))</f>
        <v/>
      </c>
      <c r="G1289" s="21">
        <f>IF(A1289="","",IF(COUNTIF(Atletas!$A$2:$A$302,A1289)&gt;0,"Sí","No"))</f>
        <v/>
      </c>
    </row>
    <row r="1290">
      <c r="A1290" s="17" t="n"/>
      <c r="B1290" s="17" t="n"/>
      <c r="C1290" s="18" t="n"/>
      <c r="D1290" s="19" t="n"/>
      <c r="E1290" s="17" t="n"/>
      <c r="F1290" s="21">
        <f>IF(OR(B1290="",C1290=""),"",IFERROR(INT(ROUND(IFERROR(TIMEVALUE(IF(LEN(C1290)-LEN(SUBSTITUTE(C1290,":",""))=2,"","0:")&amp;C1290)*86400,"")/VALUE(SUBSTITUTE(B1290,"K","")),0)/60)&amp;":"&amp;TEXT(MOD(ROUND(IFERROR(TIMEVALUE(IF(LEN(C1290)-LEN(SUBSTITUTE(C1290,":",""))=2,"","0:")&amp;C1290)*86400,"")/VALUE(SUBSTITUTE(B1290,"K","")),0),60),"00"),""))</f>
        <v/>
      </c>
      <c r="G1290" s="21">
        <f>IF(A1290="","",IF(COUNTIF(Atletas!$A$2:$A$302,A1290)&gt;0,"Sí","No"))</f>
        <v/>
      </c>
    </row>
    <row r="1291">
      <c r="A1291" s="17" t="n"/>
      <c r="B1291" s="17" t="n"/>
      <c r="C1291" s="18" t="n"/>
      <c r="D1291" s="19" t="n"/>
      <c r="E1291" s="17" t="n"/>
      <c r="F1291" s="21">
        <f>IF(OR(B1291="",C1291=""),"",IFERROR(INT(ROUND(IFERROR(TIMEVALUE(IF(LEN(C1291)-LEN(SUBSTITUTE(C1291,":",""))=2,"","0:")&amp;C1291)*86400,"")/VALUE(SUBSTITUTE(B1291,"K","")),0)/60)&amp;":"&amp;TEXT(MOD(ROUND(IFERROR(TIMEVALUE(IF(LEN(C1291)-LEN(SUBSTITUTE(C1291,":",""))=2,"","0:")&amp;C1291)*86400,"")/VALUE(SUBSTITUTE(B1291,"K","")),0),60),"00"),""))</f>
        <v/>
      </c>
      <c r="G1291" s="21">
        <f>IF(A1291="","",IF(COUNTIF(Atletas!$A$2:$A$302,A1291)&gt;0,"Sí","No"))</f>
        <v/>
      </c>
    </row>
    <row r="1292">
      <c r="A1292" s="17" t="n"/>
      <c r="B1292" s="17" t="n"/>
      <c r="C1292" s="18" t="n"/>
      <c r="D1292" s="19" t="n"/>
      <c r="E1292" s="17" t="n"/>
      <c r="F1292" s="21">
        <f>IF(OR(B1292="",C1292=""),"",IFERROR(INT(ROUND(IFERROR(TIMEVALUE(IF(LEN(C1292)-LEN(SUBSTITUTE(C1292,":",""))=2,"","0:")&amp;C1292)*86400,"")/VALUE(SUBSTITUTE(B1292,"K","")),0)/60)&amp;":"&amp;TEXT(MOD(ROUND(IFERROR(TIMEVALUE(IF(LEN(C1292)-LEN(SUBSTITUTE(C1292,":",""))=2,"","0:")&amp;C1292)*86400,"")/VALUE(SUBSTITUTE(B1292,"K","")),0),60),"00"),""))</f>
        <v/>
      </c>
      <c r="G1292" s="21">
        <f>IF(A1292="","",IF(COUNTIF(Atletas!$A$2:$A$302,A1292)&gt;0,"Sí","No"))</f>
        <v/>
      </c>
    </row>
    <row r="1293">
      <c r="A1293" s="17" t="n"/>
      <c r="B1293" s="17" t="n"/>
      <c r="C1293" s="18" t="n"/>
      <c r="D1293" s="19" t="n"/>
      <c r="E1293" s="17" t="n"/>
      <c r="F1293" s="21">
        <f>IF(OR(B1293="",C1293=""),"",IFERROR(INT(ROUND(IFERROR(TIMEVALUE(IF(LEN(C1293)-LEN(SUBSTITUTE(C1293,":",""))=2,"","0:")&amp;C1293)*86400,"")/VALUE(SUBSTITUTE(B1293,"K","")),0)/60)&amp;":"&amp;TEXT(MOD(ROUND(IFERROR(TIMEVALUE(IF(LEN(C1293)-LEN(SUBSTITUTE(C1293,":",""))=2,"","0:")&amp;C1293)*86400,"")/VALUE(SUBSTITUTE(B1293,"K","")),0),60),"00"),""))</f>
        <v/>
      </c>
      <c r="G1293" s="21">
        <f>IF(A1293="","",IF(COUNTIF(Atletas!$A$2:$A$302,A1293)&gt;0,"Sí","No"))</f>
        <v/>
      </c>
    </row>
    <row r="1294">
      <c r="A1294" s="17" t="n"/>
      <c r="B1294" s="17" t="n"/>
      <c r="C1294" s="18" t="n"/>
      <c r="D1294" s="19" t="n"/>
      <c r="E1294" s="17" t="n"/>
      <c r="F1294" s="21">
        <f>IF(OR(B1294="",C1294=""),"",IFERROR(INT(ROUND(IFERROR(TIMEVALUE(IF(LEN(C1294)-LEN(SUBSTITUTE(C1294,":",""))=2,"","0:")&amp;C1294)*86400,"")/VALUE(SUBSTITUTE(B1294,"K","")),0)/60)&amp;":"&amp;TEXT(MOD(ROUND(IFERROR(TIMEVALUE(IF(LEN(C1294)-LEN(SUBSTITUTE(C1294,":",""))=2,"","0:")&amp;C1294)*86400,"")/VALUE(SUBSTITUTE(B1294,"K","")),0),60),"00"),""))</f>
        <v/>
      </c>
      <c r="G1294" s="21">
        <f>IF(A1294="","",IF(COUNTIF(Atletas!$A$2:$A$302,A1294)&gt;0,"Sí","No"))</f>
        <v/>
      </c>
    </row>
    <row r="1295">
      <c r="A1295" s="17" t="n"/>
      <c r="B1295" s="17" t="n"/>
      <c r="C1295" s="18" t="n"/>
      <c r="D1295" s="19" t="n"/>
      <c r="E1295" s="17" t="n"/>
      <c r="F1295" s="21">
        <f>IF(OR(B1295="",C1295=""),"",IFERROR(INT(ROUND(IFERROR(TIMEVALUE(IF(LEN(C1295)-LEN(SUBSTITUTE(C1295,":",""))=2,"","0:")&amp;C1295)*86400,"")/VALUE(SUBSTITUTE(B1295,"K","")),0)/60)&amp;":"&amp;TEXT(MOD(ROUND(IFERROR(TIMEVALUE(IF(LEN(C1295)-LEN(SUBSTITUTE(C1295,":",""))=2,"","0:")&amp;C1295)*86400,"")/VALUE(SUBSTITUTE(B1295,"K","")),0),60),"00"),""))</f>
        <v/>
      </c>
      <c r="G1295" s="21">
        <f>IF(A1295="","",IF(COUNTIF(Atletas!$A$2:$A$302,A1295)&gt;0,"Sí","No"))</f>
        <v/>
      </c>
    </row>
    <row r="1296">
      <c r="A1296" s="17" t="n"/>
      <c r="B1296" s="17" t="n"/>
      <c r="C1296" s="18" t="n"/>
      <c r="D1296" s="19" t="n"/>
      <c r="E1296" s="17" t="n"/>
      <c r="F1296" s="21">
        <f>IF(OR(B1296="",C1296=""),"",IFERROR(INT(ROUND(IFERROR(TIMEVALUE(IF(LEN(C1296)-LEN(SUBSTITUTE(C1296,":",""))=2,"","0:")&amp;C1296)*86400,"")/VALUE(SUBSTITUTE(B1296,"K","")),0)/60)&amp;":"&amp;TEXT(MOD(ROUND(IFERROR(TIMEVALUE(IF(LEN(C1296)-LEN(SUBSTITUTE(C1296,":",""))=2,"","0:")&amp;C1296)*86400,"")/VALUE(SUBSTITUTE(B1296,"K","")),0),60),"00"),""))</f>
        <v/>
      </c>
      <c r="G1296" s="21">
        <f>IF(A1296="","",IF(COUNTIF(Atletas!$A$2:$A$302,A1296)&gt;0,"Sí","No"))</f>
        <v/>
      </c>
    </row>
    <row r="1297">
      <c r="A1297" s="17" t="n"/>
      <c r="B1297" s="17" t="n"/>
      <c r="C1297" s="18" t="n"/>
      <c r="D1297" s="19" t="n"/>
      <c r="E1297" s="17" t="n"/>
      <c r="F1297" s="21">
        <f>IF(OR(B1297="",C1297=""),"",IFERROR(INT(ROUND(IFERROR(TIMEVALUE(IF(LEN(C1297)-LEN(SUBSTITUTE(C1297,":",""))=2,"","0:")&amp;C1297)*86400,"")/VALUE(SUBSTITUTE(B1297,"K","")),0)/60)&amp;":"&amp;TEXT(MOD(ROUND(IFERROR(TIMEVALUE(IF(LEN(C1297)-LEN(SUBSTITUTE(C1297,":",""))=2,"","0:")&amp;C1297)*86400,"")/VALUE(SUBSTITUTE(B1297,"K","")),0),60),"00"),""))</f>
        <v/>
      </c>
      <c r="G1297" s="21">
        <f>IF(A1297="","",IF(COUNTIF(Atletas!$A$2:$A$302,A1297)&gt;0,"Sí","No"))</f>
        <v/>
      </c>
    </row>
    <row r="1298">
      <c r="A1298" s="17" t="n"/>
      <c r="B1298" s="17" t="n"/>
      <c r="C1298" s="18" t="n"/>
      <c r="D1298" s="19" t="n"/>
      <c r="E1298" s="17" t="n"/>
      <c r="F1298" s="21">
        <f>IF(OR(B1298="",C1298=""),"",IFERROR(INT(ROUND(IFERROR(TIMEVALUE(IF(LEN(C1298)-LEN(SUBSTITUTE(C1298,":",""))=2,"","0:")&amp;C1298)*86400,"")/VALUE(SUBSTITUTE(B1298,"K","")),0)/60)&amp;":"&amp;TEXT(MOD(ROUND(IFERROR(TIMEVALUE(IF(LEN(C1298)-LEN(SUBSTITUTE(C1298,":",""))=2,"","0:")&amp;C1298)*86400,"")/VALUE(SUBSTITUTE(B1298,"K","")),0),60),"00"),""))</f>
        <v/>
      </c>
      <c r="G1298" s="21">
        <f>IF(A1298="","",IF(COUNTIF(Atletas!$A$2:$A$302,A1298)&gt;0,"Sí","No"))</f>
        <v/>
      </c>
    </row>
    <row r="1299">
      <c r="A1299" s="17" t="n"/>
      <c r="B1299" s="17" t="n"/>
      <c r="C1299" s="18" t="n"/>
      <c r="D1299" s="19" t="n"/>
      <c r="E1299" s="17" t="n"/>
      <c r="F1299" s="21">
        <f>IF(OR(B1299="",C1299=""),"",IFERROR(INT(ROUND(IFERROR(TIMEVALUE(IF(LEN(C1299)-LEN(SUBSTITUTE(C1299,":",""))=2,"","0:")&amp;C1299)*86400,"")/VALUE(SUBSTITUTE(B1299,"K","")),0)/60)&amp;":"&amp;TEXT(MOD(ROUND(IFERROR(TIMEVALUE(IF(LEN(C1299)-LEN(SUBSTITUTE(C1299,":",""))=2,"","0:")&amp;C1299)*86400,"")/VALUE(SUBSTITUTE(B1299,"K","")),0),60),"00"),""))</f>
        <v/>
      </c>
      <c r="G1299" s="21">
        <f>IF(A1299="","",IF(COUNTIF(Atletas!$A$2:$A$302,A1299)&gt;0,"Sí","No"))</f>
        <v/>
      </c>
    </row>
    <row r="1300">
      <c r="A1300" s="17" t="n"/>
      <c r="B1300" s="17" t="n"/>
      <c r="C1300" s="18" t="n"/>
      <c r="D1300" s="19" t="n"/>
      <c r="E1300" s="17" t="n"/>
      <c r="F1300" s="21">
        <f>IF(OR(B1300="",C1300=""),"",IFERROR(INT(ROUND(IFERROR(TIMEVALUE(IF(LEN(C1300)-LEN(SUBSTITUTE(C1300,":",""))=2,"","0:")&amp;C1300)*86400,"")/VALUE(SUBSTITUTE(B1300,"K","")),0)/60)&amp;":"&amp;TEXT(MOD(ROUND(IFERROR(TIMEVALUE(IF(LEN(C1300)-LEN(SUBSTITUTE(C1300,":",""))=2,"","0:")&amp;C1300)*86400,"")/VALUE(SUBSTITUTE(B1300,"K","")),0),60),"00"),""))</f>
        <v/>
      </c>
      <c r="G1300" s="21">
        <f>IF(A1300="","",IF(COUNTIF(Atletas!$A$2:$A$302,A1300)&gt;0,"Sí","No"))</f>
        <v/>
      </c>
    </row>
    <row r="1301">
      <c r="A1301" s="17" t="n"/>
      <c r="B1301" s="17" t="n"/>
      <c r="C1301" s="18" t="n"/>
      <c r="D1301" s="19" t="n"/>
      <c r="E1301" s="17" t="n"/>
      <c r="F1301" s="21">
        <f>IF(OR(B1301="",C1301=""),"",IFERROR(INT(ROUND(IFERROR(TIMEVALUE(IF(LEN(C1301)-LEN(SUBSTITUTE(C1301,":",""))=2,"","0:")&amp;C1301)*86400,"")/VALUE(SUBSTITUTE(B1301,"K","")),0)/60)&amp;":"&amp;TEXT(MOD(ROUND(IFERROR(TIMEVALUE(IF(LEN(C1301)-LEN(SUBSTITUTE(C1301,":",""))=2,"","0:")&amp;C1301)*86400,"")/VALUE(SUBSTITUTE(B1301,"K","")),0),60),"00"),""))</f>
        <v/>
      </c>
      <c r="G1301" s="21">
        <f>IF(A1301="","",IF(COUNTIF(Atletas!$A$2:$A$302,A1301)&gt;0,"Sí","No"))</f>
        <v/>
      </c>
    </row>
    <row r="1302">
      <c r="A1302" s="17" t="n"/>
      <c r="B1302" s="17" t="n"/>
      <c r="C1302" s="18" t="n"/>
      <c r="D1302" s="19" t="n"/>
      <c r="E1302" s="17" t="n"/>
      <c r="F1302" s="21">
        <f>IF(OR(B1302="",C1302=""),"",IFERROR(INT(ROUND(IFERROR(TIMEVALUE(IF(LEN(C1302)-LEN(SUBSTITUTE(C1302,":",""))=2,"","0:")&amp;C1302)*86400,"")/VALUE(SUBSTITUTE(B1302,"K","")),0)/60)&amp;":"&amp;TEXT(MOD(ROUND(IFERROR(TIMEVALUE(IF(LEN(C1302)-LEN(SUBSTITUTE(C1302,":",""))=2,"","0:")&amp;C1302)*86400,"")/VALUE(SUBSTITUTE(B1302,"K","")),0),60),"00"),""))</f>
        <v/>
      </c>
      <c r="G1302" s="21">
        <f>IF(A1302="","",IF(COUNTIF(Atletas!$A$2:$A$302,A1302)&gt;0,"Sí","No"))</f>
        <v/>
      </c>
    </row>
    <row r="1303">
      <c r="A1303" s="17" t="n"/>
      <c r="B1303" s="17" t="n"/>
      <c r="C1303" s="18" t="n"/>
      <c r="D1303" s="19" t="n"/>
      <c r="E1303" s="17" t="n"/>
      <c r="F1303" s="21">
        <f>IF(OR(B1303="",C1303=""),"",IFERROR(INT(ROUND(IFERROR(TIMEVALUE(IF(LEN(C1303)-LEN(SUBSTITUTE(C1303,":",""))=2,"","0:")&amp;C1303)*86400,"")/VALUE(SUBSTITUTE(B1303,"K","")),0)/60)&amp;":"&amp;TEXT(MOD(ROUND(IFERROR(TIMEVALUE(IF(LEN(C1303)-LEN(SUBSTITUTE(C1303,":",""))=2,"","0:")&amp;C1303)*86400,"")/VALUE(SUBSTITUTE(B1303,"K","")),0),60),"00"),""))</f>
        <v/>
      </c>
      <c r="G1303" s="21">
        <f>IF(A1303="","",IF(COUNTIF(Atletas!$A$2:$A$302,A1303)&gt;0,"Sí","No"))</f>
        <v/>
      </c>
    </row>
    <row r="1304">
      <c r="A1304" s="17" t="n"/>
      <c r="B1304" s="17" t="n"/>
      <c r="C1304" s="18" t="n"/>
      <c r="D1304" s="19" t="n"/>
      <c r="E1304" s="17" t="n"/>
      <c r="F1304" s="21">
        <f>IF(OR(B1304="",C1304=""),"",IFERROR(INT(ROUND(IFERROR(TIMEVALUE(IF(LEN(C1304)-LEN(SUBSTITUTE(C1304,":",""))=2,"","0:")&amp;C1304)*86400,"")/VALUE(SUBSTITUTE(B1304,"K","")),0)/60)&amp;":"&amp;TEXT(MOD(ROUND(IFERROR(TIMEVALUE(IF(LEN(C1304)-LEN(SUBSTITUTE(C1304,":",""))=2,"","0:")&amp;C1304)*86400,"")/VALUE(SUBSTITUTE(B1304,"K","")),0),60),"00"),""))</f>
        <v/>
      </c>
      <c r="G1304" s="21">
        <f>IF(A1304="","",IF(COUNTIF(Atletas!$A$2:$A$302,A1304)&gt;0,"Sí","No"))</f>
        <v/>
      </c>
    </row>
    <row r="1305">
      <c r="A1305" s="17" t="n"/>
      <c r="B1305" s="17" t="n"/>
      <c r="C1305" s="18" t="n"/>
      <c r="D1305" s="19" t="n"/>
      <c r="E1305" s="17" t="n"/>
      <c r="F1305" s="21">
        <f>IF(OR(B1305="",C1305=""),"",IFERROR(INT(ROUND(IFERROR(TIMEVALUE(IF(LEN(C1305)-LEN(SUBSTITUTE(C1305,":",""))=2,"","0:")&amp;C1305)*86400,"")/VALUE(SUBSTITUTE(B1305,"K","")),0)/60)&amp;":"&amp;TEXT(MOD(ROUND(IFERROR(TIMEVALUE(IF(LEN(C1305)-LEN(SUBSTITUTE(C1305,":",""))=2,"","0:")&amp;C1305)*86400,"")/VALUE(SUBSTITUTE(B1305,"K","")),0),60),"00"),""))</f>
        <v/>
      </c>
      <c r="G1305" s="21">
        <f>IF(A1305="","",IF(COUNTIF(Atletas!$A$2:$A$302,A1305)&gt;0,"Sí","No"))</f>
        <v/>
      </c>
    </row>
    <row r="1306">
      <c r="A1306" s="17" t="n"/>
      <c r="B1306" s="17" t="n"/>
      <c r="C1306" s="18" t="n"/>
      <c r="D1306" s="19" t="n"/>
      <c r="E1306" s="17" t="n"/>
      <c r="F1306" s="21">
        <f>IF(OR(B1306="",C1306=""),"",IFERROR(INT(ROUND(IFERROR(TIMEVALUE(IF(LEN(C1306)-LEN(SUBSTITUTE(C1306,":",""))=2,"","0:")&amp;C1306)*86400,"")/VALUE(SUBSTITUTE(B1306,"K","")),0)/60)&amp;":"&amp;TEXT(MOD(ROUND(IFERROR(TIMEVALUE(IF(LEN(C1306)-LEN(SUBSTITUTE(C1306,":",""))=2,"","0:")&amp;C1306)*86400,"")/VALUE(SUBSTITUTE(B1306,"K","")),0),60),"00"),""))</f>
        <v/>
      </c>
      <c r="G1306" s="21">
        <f>IF(A1306="","",IF(COUNTIF(Atletas!$A$2:$A$302,A1306)&gt;0,"Sí","No"))</f>
        <v/>
      </c>
    </row>
    <row r="1307">
      <c r="A1307" s="17" t="n"/>
      <c r="B1307" s="17" t="n"/>
      <c r="C1307" s="18" t="n"/>
      <c r="D1307" s="19" t="n"/>
      <c r="E1307" s="17" t="n"/>
      <c r="F1307" s="21">
        <f>IF(OR(B1307="",C1307=""),"",IFERROR(INT(ROUND(IFERROR(TIMEVALUE(IF(LEN(C1307)-LEN(SUBSTITUTE(C1307,":",""))=2,"","0:")&amp;C1307)*86400,"")/VALUE(SUBSTITUTE(B1307,"K","")),0)/60)&amp;":"&amp;TEXT(MOD(ROUND(IFERROR(TIMEVALUE(IF(LEN(C1307)-LEN(SUBSTITUTE(C1307,":",""))=2,"","0:")&amp;C1307)*86400,"")/VALUE(SUBSTITUTE(B1307,"K","")),0),60),"00"),""))</f>
        <v/>
      </c>
      <c r="G1307" s="21">
        <f>IF(A1307="","",IF(COUNTIF(Atletas!$A$2:$A$302,A1307)&gt;0,"Sí","No"))</f>
        <v/>
      </c>
    </row>
    <row r="1308">
      <c r="A1308" s="17" t="n"/>
      <c r="B1308" s="17" t="n"/>
      <c r="C1308" s="18" t="n"/>
      <c r="D1308" s="19" t="n"/>
      <c r="E1308" s="17" t="n"/>
      <c r="F1308" s="21">
        <f>IF(OR(B1308="",C1308=""),"",IFERROR(INT(ROUND(IFERROR(TIMEVALUE(IF(LEN(C1308)-LEN(SUBSTITUTE(C1308,":",""))=2,"","0:")&amp;C1308)*86400,"")/VALUE(SUBSTITUTE(B1308,"K","")),0)/60)&amp;":"&amp;TEXT(MOD(ROUND(IFERROR(TIMEVALUE(IF(LEN(C1308)-LEN(SUBSTITUTE(C1308,":",""))=2,"","0:")&amp;C1308)*86400,"")/VALUE(SUBSTITUTE(B1308,"K","")),0),60),"00"),""))</f>
        <v/>
      </c>
      <c r="G1308" s="21">
        <f>IF(A1308="","",IF(COUNTIF(Atletas!$A$2:$A$302,A1308)&gt;0,"Sí","No"))</f>
        <v/>
      </c>
    </row>
    <row r="1309">
      <c r="A1309" s="17" t="n"/>
      <c r="B1309" s="17" t="n"/>
      <c r="C1309" s="18" t="n"/>
      <c r="D1309" s="19" t="n"/>
      <c r="E1309" s="17" t="n"/>
      <c r="F1309" s="21">
        <f>IF(OR(B1309="",C1309=""),"",IFERROR(INT(ROUND(IFERROR(TIMEVALUE(IF(LEN(C1309)-LEN(SUBSTITUTE(C1309,":",""))=2,"","0:")&amp;C1309)*86400,"")/VALUE(SUBSTITUTE(B1309,"K","")),0)/60)&amp;":"&amp;TEXT(MOD(ROUND(IFERROR(TIMEVALUE(IF(LEN(C1309)-LEN(SUBSTITUTE(C1309,":",""))=2,"","0:")&amp;C1309)*86400,"")/VALUE(SUBSTITUTE(B1309,"K","")),0),60),"00"),""))</f>
        <v/>
      </c>
      <c r="G1309" s="21">
        <f>IF(A1309="","",IF(COUNTIF(Atletas!$A$2:$A$302,A1309)&gt;0,"Sí","No"))</f>
        <v/>
      </c>
    </row>
    <row r="1310">
      <c r="A1310" s="17" t="n"/>
      <c r="B1310" s="17" t="n"/>
      <c r="C1310" s="18" t="n"/>
      <c r="D1310" s="19" t="n"/>
      <c r="E1310" s="17" t="n"/>
      <c r="F1310" s="21">
        <f>IF(OR(B1310="",C1310=""),"",IFERROR(INT(ROUND(IFERROR(TIMEVALUE(IF(LEN(C1310)-LEN(SUBSTITUTE(C1310,":",""))=2,"","0:")&amp;C1310)*86400,"")/VALUE(SUBSTITUTE(B1310,"K","")),0)/60)&amp;":"&amp;TEXT(MOD(ROUND(IFERROR(TIMEVALUE(IF(LEN(C1310)-LEN(SUBSTITUTE(C1310,":",""))=2,"","0:")&amp;C1310)*86400,"")/VALUE(SUBSTITUTE(B1310,"K","")),0),60),"00"),""))</f>
        <v/>
      </c>
      <c r="G1310" s="21">
        <f>IF(A1310="","",IF(COUNTIF(Atletas!$A$2:$A$302,A1310)&gt;0,"Sí","No"))</f>
        <v/>
      </c>
    </row>
    <row r="1311">
      <c r="A1311" s="17" t="n"/>
      <c r="B1311" s="17" t="n"/>
      <c r="C1311" s="18" t="n"/>
      <c r="D1311" s="19" t="n"/>
      <c r="E1311" s="17" t="n"/>
      <c r="F1311" s="21">
        <f>IF(OR(B1311="",C1311=""),"",IFERROR(INT(ROUND(IFERROR(TIMEVALUE(IF(LEN(C1311)-LEN(SUBSTITUTE(C1311,":",""))=2,"","0:")&amp;C1311)*86400,"")/VALUE(SUBSTITUTE(B1311,"K","")),0)/60)&amp;":"&amp;TEXT(MOD(ROUND(IFERROR(TIMEVALUE(IF(LEN(C1311)-LEN(SUBSTITUTE(C1311,":",""))=2,"","0:")&amp;C1311)*86400,"")/VALUE(SUBSTITUTE(B1311,"K","")),0),60),"00"),""))</f>
        <v/>
      </c>
      <c r="G1311" s="21">
        <f>IF(A1311="","",IF(COUNTIF(Atletas!$A$2:$A$302,A1311)&gt;0,"Sí","No"))</f>
        <v/>
      </c>
    </row>
    <row r="1312">
      <c r="A1312" s="17" t="n"/>
      <c r="B1312" s="17" t="n"/>
      <c r="C1312" s="18" t="n"/>
      <c r="D1312" s="19" t="n"/>
      <c r="E1312" s="17" t="n"/>
      <c r="F1312" s="21">
        <f>IF(OR(B1312="",C1312=""),"",IFERROR(INT(ROUND(IFERROR(TIMEVALUE(IF(LEN(C1312)-LEN(SUBSTITUTE(C1312,":",""))=2,"","0:")&amp;C1312)*86400,"")/VALUE(SUBSTITUTE(B1312,"K","")),0)/60)&amp;":"&amp;TEXT(MOD(ROUND(IFERROR(TIMEVALUE(IF(LEN(C1312)-LEN(SUBSTITUTE(C1312,":",""))=2,"","0:")&amp;C1312)*86400,"")/VALUE(SUBSTITUTE(B1312,"K","")),0),60),"00"),""))</f>
        <v/>
      </c>
      <c r="G1312" s="21">
        <f>IF(A1312="","",IF(COUNTIF(Atletas!$A$2:$A$302,A1312)&gt;0,"Sí","No"))</f>
        <v/>
      </c>
    </row>
    <row r="1313">
      <c r="A1313" s="17" t="n"/>
      <c r="B1313" s="17" t="n"/>
      <c r="C1313" s="18" t="n"/>
      <c r="D1313" s="19" t="n"/>
      <c r="E1313" s="17" t="n"/>
      <c r="F1313" s="21">
        <f>IF(OR(B1313="",C1313=""),"",IFERROR(INT(ROUND(IFERROR(TIMEVALUE(IF(LEN(C1313)-LEN(SUBSTITUTE(C1313,":",""))=2,"","0:")&amp;C1313)*86400,"")/VALUE(SUBSTITUTE(B1313,"K","")),0)/60)&amp;":"&amp;TEXT(MOD(ROUND(IFERROR(TIMEVALUE(IF(LEN(C1313)-LEN(SUBSTITUTE(C1313,":",""))=2,"","0:")&amp;C1313)*86400,"")/VALUE(SUBSTITUTE(B1313,"K","")),0),60),"00"),""))</f>
        <v/>
      </c>
      <c r="G1313" s="21">
        <f>IF(A1313="","",IF(COUNTIF(Atletas!$A$2:$A$302,A1313)&gt;0,"Sí","No"))</f>
        <v/>
      </c>
    </row>
    <row r="1314">
      <c r="A1314" s="17" t="n"/>
      <c r="B1314" s="17" t="n"/>
      <c r="C1314" s="18" t="n"/>
      <c r="D1314" s="19" t="n"/>
      <c r="E1314" s="17" t="n"/>
      <c r="F1314" s="21">
        <f>IF(OR(B1314="",C1314=""),"",IFERROR(INT(ROUND(IFERROR(TIMEVALUE(IF(LEN(C1314)-LEN(SUBSTITUTE(C1314,":",""))=2,"","0:")&amp;C1314)*86400,"")/VALUE(SUBSTITUTE(B1314,"K","")),0)/60)&amp;":"&amp;TEXT(MOD(ROUND(IFERROR(TIMEVALUE(IF(LEN(C1314)-LEN(SUBSTITUTE(C1314,":",""))=2,"","0:")&amp;C1314)*86400,"")/VALUE(SUBSTITUTE(B1314,"K","")),0),60),"00"),""))</f>
        <v/>
      </c>
      <c r="G1314" s="21">
        <f>IF(A1314="","",IF(COUNTIF(Atletas!$A$2:$A$302,A1314)&gt;0,"Sí","No"))</f>
        <v/>
      </c>
    </row>
    <row r="1315">
      <c r="A1315" s="17" t="n"/>
      <c r="B1315" s="17" t="n"/>
      <c r="C1315" s="18" t="n"/>
      <c r="D1315" s="19" t="n"/>
      <c r="E1315" s="17" t="n"/>
      <c r="F1315" s="21">
        <f>IF(OR(B1315="",C1315=""),"",IFERROR(INT(ROUND(IFERROR(TIMEVALUE(IF(LEN(C1315)-LEN(SUBSTITUTE(C1315,":",""))=2,"","0:")&amp;C1315)*86400,"")/VALUE(SUBSTITUTE(B1315,"K","")),0)/60)&amp;":"&amp;TEXT(MOD(ROUND(IFERROR(TIMEVALUE(IF(LEN(C1315)-LEN(SUBSTITUTE(C1315,":",""))=2,"","0:")&amp;C1315)*86400,"")/VALUE(SUBSTITUTE(B1315,"K","")),0),60),"00"),""))</f>
        <v/>
      </c>
      <c r="G1315" s="21">
        <f>IF(A1315="","",IF(COUNTIF(Atletas!$A$2:$A$302,A1315)&gt;0,"Sí","No"))</f>
        <v/>
      </c>
    </row>
    <row r="1316">
      <c r="A1316" s="17" t="n"/>
      <c r="B1316" s="17" t="n"/>
      <c r="C1316" s="18" t="n"/>
      <c r="D1316" s="19" t="n"/>
      <c r="E1316" s="17" t="n"/>
      <c r="F1316" s="21">
        <f>IF(OR(B1316="",C1316=""),"",IFERROR(INT(ROUND(IFERROR(TIMEVALUE(IF(LEN(C1316)-LEN(SUBSTITUTE(C1316,":",""))=2,"","0:")&amp;C1316)*86400,"")/VALUE(SUBSTITUTE(B1316,"K","")),0)/60)&amp;":"&amp;TEXT(MOD(ROUND(IFERROR(TIMEVALUE(IF(LEN(C1316)-LEN(SUBSTITUTE(C1316,":",""))=2,"","0:")&amp;C1316)*86400,"")/VALUE(SUBSTITUTE(B1316,"K","")),0),60),"00"),""))</f>
        <v/>
      </c>
      <c r="G1316" s="21">
        <f>IF(A1316="","",IF(COUNTIF(Atletas!$A$2:$A$302,A1316)&gt;0,"Sí","No"))</f>
        <v/>
      </c>
    </row>
    <row r="1317">
      <c r="A1317" s="17" t="n"/>
      <c r="B1317" s="17" t="n"/>
      <c r="C1317" s="18" t="n"/>
      <c r="D1317" s="19" t="n"/>
      <c r="E1317" s="17" t="n"/>
      <c r="F1317" s="21">
        <f>IF(OR(B1317="",C1317=""),"",IFERROR(INT(ROUND(IFERROR(TIMEVALUE(IF(LEN(C1317)-LEN(SUBSTITUTE(C1317,":",""))=2,"","0:")&amp;C1317)*86400,"")/VALUE(SUBSTITUTE(B1317,"K","")),0)/60)&amp;":"&amp;TEXT(MOD(ROUND(IFERROR(TIMEVALUE(IF(LEN(C1317)-LEN(SUBSTITUTE(C1317,":",""))=2,"","0:")&amp;C1317)*86400,"")/VALUE(SUBSTITUTE(B1317,"K","")),0),60),"00"),""))</f>
        <v/>
      </c>
      <c r="G1317" s="21">
        <f>IF(A1317="","",IF(COUNTIF(Atletas!$A$2:$A$302,A1317)&gt;0,"Sí","No"))</f>
        <v/>
      </c>
    </row>
    <row r="1318">
      <c r="A1318" s="17" t="n"/>
      <c r="B1318" s="17" t="n"/>
      <c r="C1318" s="18" t="n"/>
      <c r="D1318" s="19" t="n"/>
      <c r="E1318" s="17" t="n"/>
      <c r="F1318" s="21">
        <f>IF(OR(B1318="",C1318=""),"",IFERROR(INT(ROUND(IFERROR(TIMEVALUE(IF(LEN(C1318)-LEN(SUBSTITUTE(C1318,":",""))=2,"","0:")&amp;C1318)*86400,"")/VALUE(SUBSTITUTE(B1318,"K","")),0)/60)&amp;":"&amp;TEXT(MOD(ROUND(IFERROR(TIMEVALUE(IF(LEN(C1318)-LEN(SUBSTITUTE(C1318,":",""))=2,"","0:")&amp;C1318)*86400,"")/VALUE(SUBSTITUTE(B1318,"K","")),0),60),"00"),""))</f>
        <v/>
      </c>
      <c r="G1318" s="21">
        <f>IF(A1318="","",IF(COUNTIF(Atletas!$A$2:$A$302,A1318)&gt;0,"Sí","No"))</f>
        <v/>
      </c>
    </row>
    <row r="1319">
      <c r="A1319" s="17" t="n"/>
      <c r="B1319" s="17" t="n"/>
      <c r="C1319" s="18" t="n"/>
      <c r="D1319" s="19" t="n"/>
      <c r="E1319" s="17" t="n"/>
      <c r="F1319" s="21">
        <f>IF(OR(B1319="",C1319=""),"",IFERROR(INT(ROUND(IFERROR(TIMEVALUE(IF(LEN(C1319)-LEN(SUBSTITUTE(C1319,":",""))=2,"","0:")&amp;C1319)*86400,"")/VALUE(SUBSTITUTE(B1319,"K","")),0)/60)&amp;":"&amp;TEXT(MOD(ROUND(IFERROR(TIMEVALUE(IF(LEN(C1319)-LEN(SUBSTITUTE(C1319,":",""))=2,"","0:")&amp;C1319)*86400,"")/VALUE(SUBSTITUTE(B1319,"K","")),0),60),"00"),""))</f>
        <v/>
      </c>
      <c r="G1319" s="21">
        <f>IF(A1319="","",IF(COUNTIF(Atletas!$A$2:$A$302,A1319)&gt;0,"Sí","No"))</f>
        <v/>
      </c>
    </row>
    <row r="1320">
      <c r="A1320" s="17" t="n"/>
      <c r="B1320" s="17" t="n"/>
      <c r="C1320" s="18" t="n"/>
      <c r="D1320" s="19" t="n"/>
      <c r="E1320" s="17" t="n"/>
      <c r="F1320" s="21">
        <f>IF(OR(B1320="",C1320=""),"",IFERROR(INT(ROUND(IFERROR(TIMEVALUE(IF(LEN(C1320)-LEN(SUBSTITUTE(C1320,":",""))=2,"","0:")&amp;C1320)*86400,"")/VALUE(SUBSTITUTE(B1320,"K","")),0)/60)&amp;":"&amp;TEXT(MOD(ROUND(IFERROR(TIMEVALUE(IF(LEN(C1320)-LEN(SUBSTITUTE(C1320,":",""))=2,"","0:")&amp;C1320)*86400,"")/VALUE(SUBSTITUTE(B1320,"K","")),0),60),"00"),""))</f>
        <v/>
      </c>
      <c r="G1320" s="21">
        <f>IF(A1320="","",IF(COUNTIF(Atletas!$A$2:$A$302,A1320)&gt;0,"Sí","No"))</f>
        <v/>
      </c>
    </row>
    <row r="1321">
      <c r="A1321" s="17" t="n"/>
      <c r="B1321" s="17" t="n"/>
      <c r="C1321" s="18" t="n"/>
      <c r="D1321" s="19" t="n"/>
      <c r="E1321" s="17" t="n"/>
      <c r="F1321" s="21">
        <f>IF(OR(B1321="",C1321=""),"",IFERROR(INT(ROUND(IFERROR(TIMEVALUE(IF(LEN(C1321)-LEN(SUBSTITUTE(C1321,":",""))=2,"","0:")&amp;C1321)*86400,"")/VALUE(SUBSTITUTE(B1321,"K","")),0)/60)&amp;":"&amp;TEXT(MOD(ROUND(IFERROR(TIMEVALUE(IF(LEN(C1321)-LEN(SUBSTITUTE(C1321,":",""))=2,"","0:")&amp;C1321)*86400,"")/VALUE(SUBSTITUTE(B1321,"K","")),0),60),"00"),""))</f>
        <v/>
      </c>
      <c r="G1321" s="21">
        <f>IF(A1321="","",IF(COUNTIF(Atletas!$A$2:$A$302,A1321)&gt;0,"Sí","No"))</f>
        <v/>
      </c>
    </row>
    <row r="1322">
      <c r="A1322" s="17" t="n"/>
      <c r="B1322" s="17" t="n"/>
      <c r="C1322" s="18" t="n"/>
      <c r="D1322" s="19" t="n"/>
      <c r="E1322" s="17" t="n"/>
      <c r="F1322" s="21">
        <f>IF(OR(B1322="",C1322=""),"",IFERROR(INT(ROUND(IFERROR(TIMEVALUE(IF(LEN(C1322)-LEN(SUBSTITUTE(C1322,":",""))=2,"","0:")&amp;C1322)*86400,"")/VALUE(SUBSTITUTE(B1322,"K","")),0)/60)&amp;":"&amp;TEXT(MOD(ROUND(IFERROR(TIMEVALUE(IF(LEN(C1322)-LEN(SUBSTITUTE(C1322,":",""))=2,"","0:")&amp;C1322)*86400,"")/VALUE(SUBSTITUTE(B1322,"K","")),0),60),"00"),""))</f>
        <v/>
      </c>
      <c r="G1322" s="21">
        <f>IF(A1322="","",IF(COUNTIF(Atletas!$A$2:$A$302,A1322)&gt;0,"Sí","No"))</f>
        <v/>
      </c>
    </row>
    <row r="1323">
      <c r="A1323" s="17" t="n"/>
      <c r="B1323" s="17" t="n"/>
      <c r="C1323" s="18" t="n"/>
      <c r="D1323" s="19" t="n"/>
      <c r="E1323" s="17" t="n"/>
      <c r="F1323" s="21">
        <f>IF(OR(B1323="",C1323=""),"",IFERROR(INT(ROUND(IFERROR(TIMEVALUE(IF(LEN(C1323)-LEN(SUBSTITUTE(C1323,":",""))=2,"","0:")&amp;C1323)*86400,"")/VALUE(SUBSTITUTE(B1323,"K","")),0)/60)&amp;":"&amp;TEXT(MOD(ROUND(IFERROR(TIMEVALUE(IF(LEN(C1323)-LEN(SUBSTITUTE(C1323,":",""))=2,"","0:")&amp;C1323)*86400,"")/VALUE(SUBSTITUTE(B1323,"K","")),0),60),"00"),""))</f>
        <v/>
      </c>
      <c r="G1323" s="21">
        <f>IF(A1323="","",IF(COUNTIF(Atletas!$A$2:$A$302,A1323)&gt;0,"Sí","No"))</f>
        <v/>
      </c>
    </row>
    <row r="1324">
      <c r="A1324" s="17" t="n"/>
      <c r="B1324" s="17" t="n"/>
      <c r="C1324" s="18" t="n"/>
      <c r="D1324" s="19" t="n"/>
      <c r="E1324" s="17" t="n"/>
      <c r="F1324" s="21">
        <f>IF(OR(B1324="",C1324=""),"",IFERROR(INT(ROUND(IFERROR(TIMEVALUE(IF(LEN(C1324)-LEN(SUBSTITUTE(C1324,":",""))=2,"","0:")&amp;C1324)*86400,"")/VALUE(SUBSTITUTE(B1324,"K","")),0)/60)&amp;":"&amp;TEXT(MOD(ROUND(IFERROR(TIMEVALUE(IF(LEN(C1324)-LEN(SUBSTITUTE(C1324,":",""))=2,"","0:")&amp;C1324)*86400,"")/VALUE(SUBSTITUTE(B1324,"K","")),0),60),"00"),""))</f>
        <v/>
      </c>
      <c r="G1324" s="21">
        <f>IF(A1324="","",IF(COUNTIF(Atletas!$A$2:$A$302,A1324)&gt;0,"Sí","No"))</f>
        <v/>
      </c>
    </row>
    <row r="1325">
      <c r="A1325" s="17" t="n"/>
      <c r="B1325" s="17" t="n"/>
      <c r="C1325" s="18" t="n"/>
      <c r="D1325" s="19" t="n"/>
      <c r="E1325" s="17" t="n"/>
      <c r="F1325" s="21">
        <f>IF(OR(B1325="",C1325=""),"",IFERROR(INT(ROUND(IFERROR(TIMEVALUE(IF(LEN(C1325)-LEN(SUBSTITUTE(C1325,":",""))=2,"","0:")&amp;C1325)*86400,"")/VALUE(SUBSTITUTE(B1325,"K","")),0)/60)&amp;":"&amp;TEXT(MOD(ROUND(IFERROR(TIMEVALUE(IF(LEN(C1325)-LEN(SUBSTITUTE(C1325,":",""))=2,"","0:")&amp;C1325)*86400,"")/VALUE(SUBSTITUTE(B1325,"K","")),0),60),"00"),""))</f>
        <v/>
      </c>
      <c r="G1325" s="21">
        <f>IF(A1325="","",IF(COUNTIF(Atletas!$A$2:$A$302,A1325)&gt;0,"Sí","No"))</f>
        <v/>
      </c>
    </row>
    <row r="1326">
      <c r="A1326" s="17" t="n"/>
      <c r="B1326" s="17" t="n"/>
      <c r="C1326" s="18" t="n"/>
      <c r="D1326" s="19" t="n"/>
      <c r="E1326" s="17" t="n"/>
      <c r="F1326" s="21">
        <f>IF(OR(B1326="",C1326=""),"",IFERROR(INT(ROUND(IFERROR(TIMEVALUE(IF(LEN(C1326)-LEN(SUBSTITUTE(C1326,":",""))=2,"","0:")&amp;C1326)*86400,"")/VALUE(SUBSTITUTE(B1326,"K","")),0)/60)&amp;":"&amp;TEXT(MOD(ROUND(IFERROR(TIMEVALUE(IF(LEN(C1326)-LEN(SUBSTITUTE(C1326,":",""))=2,"","0:")&amp;C1326)*86400,"")/VALUE(SUBSTITUTE(B1326,"K","")),0),60),"00"),""))</f>
        <v/>
      </c>
      <c r="G1326" s="21">
        <f>IF(A1326="","",IF(COUNTIF(Atletas!$A$2:$A$302,A1326)&gt;0,"Sí","No"))</f>
        <v/>
      </c>
    </row>
    <row r="1327">
      <c r="A1327" s="17" t="n"/>
      <c r="B1327" s="17" t="n"/>
      <c r="C1327" s="18" t="n"/>
      <c r="D1327" s="19" t="n"/>
      <c r="E1327" s="17" t="n"/>
      <c r="F1327" s="21">
        <f>IF(OR(B1327="",C1327=""),"",IFERROR(INT(ROUND(IFERROR(TIMEVALUE(IF(LEN(C1327)-LEN(SUBSTITUTE(C1327,":",""))=2,"","0:")&amp;C1327)*86400,"")/VALUE(SUBSTITUTE(B1327,"K","")),0)/60)&amp;":"&amp;TEXT(MOD(ROUND(IFERROR(TIMEVALUE(IF(LEN(C1327)-LEN(SUBSTITUTE(C1327,":",""))=2,"","0:")&amp;C1327)*86400,"")/VALUE(SUBSTITUTE(B1327,"K","")),0),60),"00"),""))</f>
        <v/>
      </c>
      <c r="G1327" s="21">
        <f>IF(A1327="","",IF(COUNTIF(Atletas!$A$2:$A$302,A1327)&gt;0,"Sí","No"))</f>
        <v/>
      </c>
    </row>
    <row r="1328">
      <c r="A1328" s="17" t="n"/>
      <c r="B1328" s="17" t="n"/>
      <c r="C1328" s="18" t="n"/>
      <c r="D1328" s="19" t="n"/>
      <c r="E1328" s="17" t="n"/>
      <c r="F1328" s="21">
        <f>IF(OR(B1328="",C1328=""),"",IFERROR(INT(ROUND(IFERROR(TIMEVALUE(IF(LEN(C1328)-LEN(SUBSTITUTE(C1328,":",""))=2,"","0:")&amp;C1328)*86400,"")/VALUE(SUBSTITUTE(B1328,"K","")),0)/60)&amp;":"&amp;TEXT(MOD(ROUND(IFERROR(TIMEVALUE(IF(LEN(C1328)-LEN(SUBSTITUTE(C1328,":",""))=2,"","0:")&amp;C1328)*86400,"")/VALUE(SUBSTITUTE(B1328,"K","")),0),60),"00"),""))</f>
        <v/>
      </c>
      <c r="G1328" s="21">
        <f>IF(A1328="","",IF(COUNTIF(Atletas!$A$2:$A$302,A1328)&gt;0,"Sí","No"))</f>
        <v/>
      </c>
    </row>
    <row r="1329">
      <c r="A1329" s="17" t="n"/>
      <c r="B1329" s="17" t="n"/>
      <c r="C1329" s="18" t="n"/>
      <c r="D1329" s="19" t="n"/>
      <c r="E1329" s="17" t="n"/>
      <c r="F1329" s="21">
        <f>IF(OR(B1329="",C1329=""),"",IFERROR(INT(ROUND(IFERROR(TIMEVALUE(IF(LEN(C1329)-LEN(SUBSTITUTE(C1329,":",""))=2,"","0:")&amp;C1329)*86400,"")/VALUE(SUBSTITUTE(B1329,"K","")),0)/60)&amp;":"&amp;TEXT(MOD(ROUND(IFERROR(TIMEVALUE(IF(LEN(C1329)-LEN(SUBSTITUTE(C1329,":",""))=2,"","0:")&amp;C1329)*86400,"")/VALUE(SUBSTITUTE(B1329,"K","")),0),60),"00"),""))</f>
        <v/>
      </c>
      <c r="G1329" s="21">
        <f>IF(A1329="","",IF(COUNTIF(Atletas!$A$2:$A$302,A1329)&gt;0,"Sí","No"))</f>
        <v/>
      </c>
    </row>
    <row r="1330">
      <c r="A1330" s="17" t="n"/>
      <c r="B1330" s="17" t="n"/>
      <c r="C1330" s="18" t="n"/>
      <c r="D1330" s="19" t="n"/>
      <c r="E1330" s="17" t="n"/>
      <c r="F1330" s="21">
        <f>IF(OR(B1330="",C1330=""),"",IFERROR(INT(ROUND(IFERROR(TIMEVALUE(IF(LEN(C1330)-LEN(SUBSTITUTE(C1330,":",""))=2,"","0:")&amp;C1330)*86400,"")/VALUE(SUBSTITUTE(B1330,"K","")),0)/60)&amp;":"&amp;TEXT(MOD(ROUND(IFERROR(TIMEVALUE(IF(LEN(C1330)-LEN(SUBSTITUTE(C1330,":",""))=2,"","0:")&amp;C1330)*86400,"")/VALUE(SUBSTITUTE(B1330,"K","")),0),60),"00"),""))</f>
        <v/>
      </c>
      <c r="G1330" s="21">
        <f>IF(A1330="","",IF(COUNTIF(Atletas!$A$2:$A$302,A1330)&gt;0,"Sí","No"))</f>
        <v/>
      </c>
    </row>
    <row r="1331">
      <c r="A1331" s="17" t="n"/>
      <c r="B1331" s="17" t="n"/>
      <c r="C1331" s="18" t="n"/>
      <c r="D1331" s="19" t="n"/>
      <c r="E1331" s="17" t="n"/>
      <c r="F1331" s="21">
        <f>IF(OR(B1331="",C1331=""),"",IFERROR(INT(ROUND(IFERROR(TIMEVALUE(IF(LEN(C1331)-LEN(SUBSTITUTE(C1331,":",""))=2,"","0:")&amp;C1331)*86400,"")/VALUE(SUBSTITUTE(B1331,"K","")),0)/60)&amp;":"&amp;TEXT(MOD(ROUND(IFERROR(TIMEVALUE(IF(LEN(C1331)-LEN(SUBSTITUTE(C1331,":",""))=2,"","0:")&amp;C1331)*86400,"")/VALUE(SUBSTITUTE(B1331,"K","")),0),60),"00"),""))</f>
        <v/>
      </c>
      <c r="G1331" s="21">
        <f>IF(A1331="","",IF(COUNTIF(Atletas!$A$2:$A$302,A1331)&gt;0,"Sí","No"))</f>
        <v/>
      </c>
    </row>
    <row r="1332">
      <c r="A1332" s="17" t="n"/>
      <c r="B1332" s="17" t="n"/>
      <c r="C1332" s="18" t="n"/>
      <c r="D1332" s="19" t="n"/>
      <c r="E1332" s="17" t="n"/>
      <c r="F1332" s="21">
        <f>IF(OR(B1332="",C1332=""),"",IFERROR(INT(ROUND(IFERROR(TIMEVALUE(IF(LEN(C1332)-LEN(SUBSTITUTE(C1332,":",""))=2,"","0:")&amp;C1332)*86400,"")/VALUE(SUBSTITUTE(B1332,"K","")),0)/60)&amp;":"&amp;TEXT(MOD(ROUND(IFERROR(TIMEVALUE(IF(LEN(C1332)-LEN(SUBSTITUTE(C1332,":",""))=2,"","0:")&amp;C1332)*86400,"")/VALUE(SUBSTITUTE(B1332,"K","")),0),60),"00"),""))</f>
        <v/>
      </c>
      <c r="G1332" s="21">
        <f>IF(A1332="","",IF(COUNTIF(Atletas!$A$2:$A$302,A1332)&gt;0,"Sí","No"))</f>
        <v/>
      </c>
    </row>
    <row r="1333">
      <c r="A1333" s="17" t="n"/>
      <c r="B1333" s="17" t="n"/>
      <c r="C1333" s="18" t="n"/>
      <c r="D1333" s="19" t="n"/>
      <c r="E1333" s="17" t="n"/>
      <c r="F1333" s="21">
        <f>IF(OR(B1333="",C1333=""),"",IFERROR(INT(ROUND(IFERROR(TIMEVALUE(IF(LEN(C1333)-LEN(SUBSTITUTE(C1333,":",""))=2,"","0:")&amp;C1333)*86400,"")/VALUE(SUBSTITUTE(B1333,"K","")),0)/60)&amp;":"&amp;TEXT(MOD(ROUND(IFERROR(TIMEVALUE(IF(LEN(C1333)-LEN(SUBSTITUTE(C1333,":",""))=2,"","0:")&amp;C1333)*86400,"")/VALUE(SUBSTITUTE(B1333,"K","")),0),60),"00"),""))</f>
        <v/>
      </c>
      <c r="G1333" s="21">
        <f>IF(A1333="","",IF(COUNTIF(Atletas!$A$2:$A$302,A1333)&gt;0,"Sí","No"))</f>
        <v/>
      </c>
    </row>
    <row r="1334">
      <c r="A1334" s="17" t="n"/>
      <c r="B1334" s="17" t="n"/>
      <c r="C1334" s="18" t="n"/>
      <c r="D1334" s="19" t="n"/>
      <c r="E1334" s="17" t="n"/>
      <c r="F1334" s="21">
        <f>IF(OR(B1334="",C1334=""),"",IFERROR(INT(ROUND(IFERROR(TIMEVALUE(IF(LEN(C1334)-LEN(SUBSTITUTE(C1334,":",""))=2,"","0:")&amp;C1334)*86400,"")/VALUE(SUBSTITUTE(B1334,"K","")),0)/60)&amp;":"&amp;TEXT(MOD(ROUND(IFERROR(TIMEVALUE(IF(LEN(C1334)-LEN(SUBSTITUTE(C1334,":",""))=2,"","0:")&amp;C1334)*86400,"")/VALUE(SUBSTITUTE(B1334,"K","")),0),60),"00"),""))</f>
        <v/>
      </c>
      <c r="G1334" s="21">
        <f>IF(A1334="","",IF(COUNTIF(Atletas!$A$2:$A$302,A1334)&gt;0,"Sí","No"))</f>
        <v/>
      </c>
    </row>
    <row r="1335">
      <c r="A1335" s="17" t="n"/>
      <c r="B1335" s="17" t="n"/>
      <c r="C1335" s="18" t="n"/>
      <c r="D1335" s="19" t="n"/>
      <c r="E1335" s="17" t="n"/>
      <c r="F1335" s="21">
        <f>IF(OR(B1335="",C1335=""),"",IFERROR(INT(ROUND(IFERROR(TIMEVALUE(IF(LEN(C1335)-LEN(SUBSTITUTE(C1335,":",""))=2,"","0:")&amp;C1335)*86400,"")/VALUE(SUBSTITUTE(B1335,"K","")),0)/60)&amp;":"&amp;TEXT(MOD(ROUND(IFERROR(TIMEVALUE(IF(LEN(C1335)-LEN(SUBSTITUTE(C1335,":",""))=2,"","0:")&amp;C1335)*86400,"")/VALUE(SUBSTITUTE(B1335,"K","")),0),60),"00"),""))</f>
        <v/>
      </c>
      <c r="G1335" s="21">
        <f>IF(A1335="","",IF(COUNTIF(Atletas!$A$2:$A$302,A1335)&gt;0,"Sí","No"))</f>
        <v/>
      </c>
    </row>
    <row r="1336">
      <c r="A1336" s="17" t="n"/>
      <c r="B1336" s="17" t="n"/>
      <c r="C1336" s="18" t="n"/>
      <c r="D1336" s="19" t="n"/>
      <c r="E1336" s="17" t="n"/>
      <c r="F1336" s="21">
        <f>IF(OR(B1336="",C1336=""),"",IFERROR(INT(ROUND(IFERROR(TIMEVALUE(IF(LEN(C1336)-LEN(SUBSTITUTE(C1336,":",""))=2,"","0:")&amp;C1336)*86400,"")/VALUE(SUBSTITUTE(B1336,"K","")),0)/60)&amp;":"&amp;TEXT(MOD(ROUND(IFERROR(TIMEVALUE(IF(LEN(C1336)-LEN(SUBSTITUTE(C1336,":",""))=2,"","0:")&amp;C1336)*86400,"")/VALUE(SUBSTITUTE(B1336,"K","")),0),60),"00"),""))</f>
        <v/>
      </c>
      <c r="G1336" s="21">
        <f>IF(A1336="","",IF(COUNTIF(Atletas!$A$2:$A$302,A1336)&gt;0,"Sí","No"))</f>
        <v/>
      </c>
    </row>
    <row r="1337">
      <c r="A1337" s="17" t="n"/>
      <c r="B1337" s="17" t="n"/>
      <c r="C1337" s="18" t="n"/>
      <c r="D1337" s="19" t="n"/>
      <c r="E1337" s="17" t="n"/>
      <c r="F1337" s="21">
        <f>IF(OR(B1337="",C1337=""),"",IFERROR(INT(ROUND(IFERROR(TIMEVALUE(IF(LEN(C1337)-LEN(SUBSTITUTE(C1337,":",""))=2,"","0:")&amp;C1337)*86400,"")/VALUE(SUBSTITUTE(B1337,"K","")),0)/60)&amp;":"&amp;TEXT(MOD(ROUND(IFERROR(TIMEVALUE(IF(LEN(C1337)-LEN(SUBSTITUTE(C1337,":",""))=2,"","0:")&amp;C1337)*86400,"")/VALUE(SUBSTITUTE(B1337,"K","")),0),60),"00"),""))</f>
        <v/>
      </c>
      <c r="G1337" s="21">
        <f>IF(A1337="","",IF(COUNTIF(Atletas!$A$2:$A$302,A1337)&gt;0,"Sí","No"))</f>
        <v/>
      </c>
    </row>
    <row r="1338">
      <c r="A1338" s="17" t="n"/>
      <c r="B1338" s="17" t="n"/>
      <c r="C1338" s="18" t="n"/>
      <c r="D1338" s="19" t="n"/>
      <c r="E1338" s="17" t="n"/>
      <c r="F1338" s="21">
        <f>IF(OR(B1338="",C1338=""),"",IFERROR(INT(ROUND(IFERROR(TIMEVALUE(IF(LEN(C1338)-LEN(SUBSTITUTE(C1338,":",""))=2,"","0:")&amp;C1338)*86400,"")/VALUE(SUBSTITUTE(B1338,"K","")),0)/60)&amp;":"&amp;TEXT(MOD(ROUND(IFERROR(TIMEVALUE(IF(LEN(C1338)-LEN(SUBSTITUTE(C1338,":",""))=2,"","0:")&amp;C1338)*86400,"")/VALUE(SUBSTITUTE(B1338,"K","")),0),60),"00"),""))</f>
        <v/>
      </c>
      <c r="G1338" s="21">
        <f>IF(A1338="","",IF(COUNTIF(Atletas!$A$2:$A$302,A1338)&gt;0,"Sí","No"))</f>
        <v/>
      </c>
    </row>
    <row r="1339">
      <c r="A1339" s="17" t="n"/>
      <c r="B1339" s="17" t="n"/>
      <c r="C1339" s="18" t="n"/>
      <c r="D1339" s="19" t="n"/>
      <c r="E1339" s="17" t="n"/>
      <c r="F1339" s="21">
        <f>IF(OR(B1339="",C1339=""),"",IFERROR(INT(ROUND(IFERROR(TIMEVALUE(IF(LEN(C1339)-LEN(SUBSTITUTE(C1339,":",""))=2,"","0:")&amp;C1339)*86400,"")/VALUE(SUBSTITUTE(B1339,"K","")),0)/60)&amp;":"&amp;TEXT(MOD(ROUND(IFERROR(TIMEVALUE(IF(LEN(C1339)-LEN(SUBSTITUTE(C1339,":",""))=2,"","0:")&amp;C1339)*86400,"")/VALUE(SUBSTITUTE(B1339,"K","")),0),60),"00"),""))</f>
        <v/>
      </c>
      <c r="G1339" s="21">
        <f>IF(A1339="","",IF(COUNTIF(Atletas!$A$2:$A$302,A1339)&gt;0,"Sí","No"))</f>
        <v/>
      </c>
    </row>
    <row r="1340">
      <c r="A1340" s="17" t="n"/>
      <c r="B1340" s="17" t="n"/>
      <c r="C1340" s="18" t="n"/>
      <c r="D1340" s="19" t="n"/>
      <c r="E1340" s="17" t="n"/>
      <c r="F1340" s="21">
        <f>IF(OR(B1340="",C1340=""),"",IFERROR(INT(ROUND(IFERROR(TIMEVALUE(IF(LEN(C1340)-LEN(SUBSTITUTE(C1340,":",""))=2,"","0:")&amp;C1340)*86400,"")/VALUE(SUBSTITUTE(B1340,"K","")),0)/60)&amp;":"&amp;TEXT(MOD(ROUND(IFERROR(TIMEVALUE(IF(LEN(C1340)-LEN(SUBSTITUTE(C1340,":",""))=2,"","0:")&amp;C1340)*86400,"")/VALUE(SUBSTITUTE(B1340,"K","")),0),60),"00"),""))</f>
        <v/>
      </c>
      <c r="G1340" s="21">
        <f>IF(A1340="","",IF(COUNTIF(Atletas!$A$2:$A$302,A1340)&gt;0,"Sí","No"))</f>
        <v/>
      </c>
    </row>
    <row r="1341">
      <c r="A1341" s="17" t="n"/>
      <c r="B1341" s="17" t="n"/>
      <c r="C1341" s="18" t="n"/>
      <c r="D1341" s="19" t="n"/>
      <c r="E1341" s="17" t="n"/>
      <c r="F1341" s="21">
        <f>IF(OR(B1341="",C1341=""),"",IFERROR(INT(ROUND(IFERROR(TIMEVALUE(IF(LEN(C1341)-LEN(SUBSTITUTE(C1341,":",""))=2,"","0:")&amp;C1341)*86400,"")/VALUE(SUBSTITUTE(B1341,"K","")),0)/60)&amp;":"&amp;TEXT(MOD(ROUND(IFERROR(TIMEVALUE(IF(LEN(C1341)-LEN(SUBSTITUTE(C1341,":",""))=2,"","0:")&amp;C1341)*86400,"")/VALUE(SUBSTITUTE(B1341,"K","")),0),60),"00"),""))</f>
        <v/>
      </c>
      <c r="G1341" s="21">
        <f>IF(A1341="","",IF(COUNTIF(Atletas!$A$2:$A$302,A1341)&gt;0,"Sí","No"))</f>
        <v/>
      </c>
    </row>
    <row r="1342">
      <c r="A1342" s="17" t="n"/>
      <c r="B1342" s="17" t="n"/>
      <c r="C1342" s="18" t="n"/>
      <c r="D1342" s="19" t="n"/>
      <c r="E1342" s="17" t="n"/>
      <c r="F1342" s="21">
        <f>IF(OR(B1342="",C1342=""),"",IFERROR(INT(ROUND(IFERROR(TIMEVALUE(IF(LEN(C1342)-LEN(SUBSTITUTE(C1342,":",""))=2,"","0:")&amp;C1342)*86400,"")/VALUE(SUBSTITUTE(B1342,"K","")),0)/60)&amp;":"&amp;TEXT(MOD(ROUND(IFERROR(TIMEVALUE(IF(LEN(C1342)-LEN(SUBSTITUTE(C1342,":",""))=2,"","0:")&amp;C1342)*86400,"")/VALUE(SUBSTITUTE(B1342,"K","")),0),60),"00"),""))</f>
        <v/>
      </c>
      <c r="G1342" s="21">
        <f>IF(A1342="","",IF(COUNTIF(Atletas!$A$2:$A$302,A1342)&gt;0,"Sí","No"))</f>
        <v/>
      </c>
    </row>
    <row r="1343">
      <c r="A1343" s="17" t="n"/>
      <c r="B1343" s="17" t="n"/>
      <c r="C1343" s="18" t="n"/>
      <c r="D1343" s="19" t="n"/>
      <c r="E1343" s="17" t="n"/>
      <c r="F1343" s="21">
        <f>IF(OR(B1343="",C1343=""),"",IFERROR(INT(ROUND(IFERROR(TIMEVALUE(IF(LEN(C1343)-LEN(SUBSTITUTE(C1343,":",""))=2,"","0:")&amp;C1343)*86400,"")/VALUE(SUBSTITUTE(B1343,"K","")),0)/60)&amp;":"&amp;TEXT(MOD(ROUND(IFERROR(TIMEVALUE(IF(LEN(C1343)-LEN(SUBSTITUTE(C1343,":",""))=2,"","0:")&amp;C1343)*86400,"")/VALUE(SUBSTITUTE(B1343,"K","")),0),60),"00"),""))</f>
        <v/>
      </c>
      <c r="G1343" s="21">
        <f>IF(A1343="","",IF(COUNTIF(Atletas!$A$2:$A$302,A1343)&gt;0,"Sí","No"))</f>
        <v/>
      </c>
    </row>
    <row r="1344">
      <c r="A1344" s="17" t="n"/>
      <c r="B1344" s="17" t="n"/>
      <c r="C1344" s="18" t="n"/>
      <c r="D1344" s="19" t="n"/>
      <c r="E1344" s="17" t="n"/>
      <c r="F1344" s="21">
        <f>IF(OR(B1344="",C1344=""),"",IFERROR(INT(ROUND(IFERROR(TIMEVALUE(IF(LEN(C1344)-LEN(SUBSTITUTE(C1344,":",""))=2,"","0:")&amp;C1344)*86400,"")/VALUE(SUBSTITUTE(B1344,"K","")),0)/60)&amp;":"&amp;TEXT(MOD(ROUND(IFERROR(TIMEVALUE(IF(LEN(C1344)-LEN(SUBSTITUTE(C1344,":",""))=2,"","0:")&amp;C1344)*86400,"")/VALUE(SUBSTITUTE(B1344,"K","")),0),60),"00"),""))</f>
        <v/>
      </c>
      <c r="G1344" s="21">
        <f>IF(A1344="","",IF(COUNTIF(Atletas!$A$2:$A$302,A1344)&gt;0,"Sí","No"))</f>
        <v/>
      </c>
    </row>
    <row r="1345">
      <c r="A1345" s="17" t="n"/>
      <c r="B1345" s="17" t="n"/>
      <c r="C1345" s="18" t="n"/>
      <c r="D1345" s="19" t="n"/>
      <c r="E1345" s="17" t="n"/>
      <c r="F1345" s="21">
        <f>IF(OR(B1345="",C1345=""),"",IFERROR(INT(ROUND(IFERROR(TIMEVALUE(IF(LEN(C1345)-LEN(SUBSTITUTE(C1345,":",""))=2,"","0:")&amp;C1345)*86400,"")/VALUE(SUBSTITUTE(B1345,"K","")),0)/60)&amp;":"&amp;TEXT(MOD(ROUND(IFERROR(TIMEVALUE(IF(LEN(C1345)-LEN(SUBSTITUTE(C1345,":",""))=2,"","0:")&amp;C1345)*86400,"")/VALUE(SUBSTITUTE(B1345,"K","")),0),60),"00"),""))</f>
        <v/>
      </c>
      <c r="G1345" s="21">
        <f>IF(A1345="","",IF(COUNTIF(Atletas!$A$2:$A$302,A1345)&gt;0,"Sí","No"))</f>
        <v/>
      </c>
    </row>
    <row r="1346">
      <c r="A1346" s="17" t="n"/>
      <c r="B1346" s="17" t="n"/>
      <c r="C1346" s="18" t="n"/>
      <c r="D1346" s="19" t="n"/>
      <c r="E1346" s="17" t="n"/>
      <c r="F1346" s="21">
        <f>IF(OR(B1346="",C1346=""),"",IFERROR(INT(ROUND(IFERROR(TIMEVALUE(IF(LEN(C1346)-LEN(SUBSTITUTE(C1346,":",""))=2,"","0:")&amp;C1346)*86400,"")/VALUE(SUBSTITUTE(B1346,"K","")),0)/60)&amp;":"&amp;TEXT(MOD(ROUND(IFERROR(TIMEVALUE(IF(LEN(C1346)-LEN(SUBSTITUTE(C1346,":",""))=2,"","0:")&amp;C1346)*86400,"")/VALUE(SUBSTITUTE(B1346,"K","")),0),60),"00"),""))</f>
        <v/>
      </c>
      <c r="G1346" s="21">
        <f>IF(A1346="","",IF(COUNTIF(Atletas!$A$2:$A$302,A1346)&gt;0,"Sí","No"))</f>
        <v/>
      </c>
    </row>
    <row r="1347">
      <c r="A1347" s="17" t="n"/>
      <c r="B1347" s="17" t="n"/>
      <c r="C1347" s="18" t="n"/>
      <c r="D1347" s="19" t="n"/>
      <c r="E1347" s="17" t="n"/>
      <c r="F1347" s="21">
        <f>IF(OR(B1347="",C1347=""),"",IFERROR(INT(ROUND(IFERROR(TIMEVALUE(IF(LEN(C1347)-LEN(SUBSTITUTE(C1347,":",""))=2,"","0:")&amp;C1347)*86400,"")/VALUE(SUBSTITUTE(B1347,"K","")),0)/60)&amp;":"&amp;TEXT(MOD(ROUND(IFERROR(TIMEVALUE(IF(LEN(C1347)-LEN(SUBSTITUTE(C1347,":",""))=2,"","0:")&amp;C1347)*86400,"")/VALUE(SUBSTITUTE(B1347,"K","")),0),60),"00"),""))</f>
        <v/>
      </c>
      <c r="G1347" s="21">
        <f>IF(A1347="","",IF(COUNTIF(Atletas!$A$2:$A$302,A1347)&gt;0,"Sí","No"))</f>
        <v/>
      </c>
    </row>
    <row r="1348">
      <c r="A1348" s="17" t="n"/>
      <c r="B1348" s="17" t="n"/>
      <c r="C1348" s="18" t="n"/>
      <c r="D1348" s="19" t="n"/>
      <c r="E1348" s="17" t="n"/>
      <c r="F1348" s="21">
        <f>IF(OR(B1348="",C1348=""),"",IFERROR(INT(ROUND(IFERROR(TIMEVALUE(IF(LEN(C1348)-LEN(SUBSTITUTE(C1348,":",""))=2,"","0:")&amp;C1348)*86400,"")/VALUE(SUBSTITUTE(B1348,"K","")),0)/60)&amp;":"&amp;TEXT(MOD(ROUND(IFERROR(TIMEVALUE(IF(LEN(C1348)-LEN(SUBSTITUTE(C1348,":",""))=2,"","0:")&amp;C1348)*86400,"")/VALUE(SUBSTITUTE(B1348,"K","")),0),60),"00"),""))</f>
        <v/>
      </c>
      <c r="G1348" s="21">
        <f>IF(A1348="","",IF(COUNTIF(Atletas!$A$2:$A$302,A1348)&gt;0,"Sí","No"))</f>
        <v/>
      </c>
    </row>
    <row r="1349">
      <c r="A1349" s="17" t="n"/>
      <c r="B1349" s="17" t="n"/>
      <c r="C1349" s="18" t="n"/>
      <c r="D1349" s="19" t="n"/>
      <c r="E1349" s="17" t="n"/>
      <c r="F1349" s="21">
        <f>IF(OR(B1349="",C1349=""),"",IFERROR(INT(ROUND(IFERROR(TIMEVALUE(IF(LEN(C1349)-LEN(SUBSTITUTE(C1349,":",""))=2,"","0:")&amp;C1349)*86400,"")/VALUE(SUBSTITUTE(B1349,"K","")),0)/60)&amp;":"&amp;TEXT(MOD(ROUND(IFERROR(TIMEVALUE(IF(LEN(C1349)-LEN(SUBSTITUTE(C1349,":",""))=2,"","0:")&amp;C1349)*86400,"")/VALUE(SUBSTITUTE(B1349,"K","")),0),60),"00"),""))</f>
        <v/>
      </c>
      <c r="G1349" s="21">
        <f>IF(A1349="","",IF(COUNTIF(Atletas!$A$2:$A$302,A1349)&gt;0,"Sí","No"))</f>
        <v/>
      </c>
    </row>
    <row r="1350">
      <c r="A1350" s="17" t="n"/>
      <c r="B1350" s="17" t="n"/>
      <c r="C1350" s="18" t="n"/>
      <c r="D1350" s="19" t="n"/>
      <c r="E1350" s="17" t="n"/>
      <c r="F1350" s="21">
        <f>IF(OR(B1350="",C1350=""),"",IFERROR(INT(ROUND(IFERROR(TIMEVALUE(IF(LEN(C1350)-LEN(SUBSTITUTE(C1350,":",""))=2,"","0:")&amp;C1350)*86400,"")/VALUE(SUBSTITUTE(B1350,"K","")),0)/60)&amp;":"&amp;TEXT(MOD(ROUND(IFERROR(TIMEVALUE(IF(LEN(C1350)-LEN(SUBSTITUTE(C1350,":",""))=2,"","0:")&amp;C1350)*86400,"")/VALUE(SUBSTITUTE(B1350,"K","")),0),60),"00"),""))</f>
        <v/>
      </c>
      <c r="G1350" s="21">
        <f>IF(A1350="","",IF(COUNTIF(Atletas!$A$2:$A$302,A1350)&gt;0,"Sí","No"))</f>
        <v/>
      </c>
    </row>
    <row r="1351">
      <c r="A1351" s="17" t="n"/>
      <c r="B1351" s="17" t="n"/>
      <c r="C1351" s="18" t="n"/>
      <c r="D1351" s="19" t="n"/>
      <c r="E1351" s="17" t="n"/>
      <c r="F1351" s="21">
        <f>IF(OR(B1351="",C1351=""),"",IFERROR(INT(ROUND(IFERROR(TIMEVALUE(IF(LEN(C1351)-LEN(SUBSTITUTE(C1351,":",""))=2,"","0:")&amp;C1351)*86400,"")/VALUE(SUBSTITUTE(B1351,"K","")),0)/60)&amp;":"&amp;TEXT(MOD(ROUND(IFERROR(TIMEVALUE(IF(LEN(C1351)-LEN(SUBSTITUTE(C1351,":",""))=2,"","0:")&amp;C1351)*86400,"")/VALUE(SUBSTITUTE(B1351,"K","")),0),60),"00"),""))</f>
        <v/>
      </c>
      <c r="G1351" s="21">
        <f>IF(A1351="","",IF(COUNTIF(Atletas!$A$2:$A$302,A1351)&gt;0,"Sí","No"))</f>
        <v/>
      </c>
    </row>
    <row r="1352">
      <c r="A1352" s="17" t="n"/>
      <c r="B1352" s="17" t="n"/>
      <c r="C1352" s="18" t="n"/>
      <c r="D1352" s="19" t="n"/>
      <c r="E1352" s="17" t="n"/>
      <c r="F1352" s="21">
        <f>IF(OR(B1352="",C1352=""),"",IFERROR(INT(ROUND(IFERROR(TIMEVALUE(IF(LEN(C1352)-LEN(SUBSTITUTE(C1352,":",""))=2,"","0:")&amp;C1352)*86400,"")/VALUE(SUBSTITUTE(B1352,"K","")),0)/60)&amp;":"&amp;TEXT(MOD(ROUND(IFERROR(TIMEVALUE(IF(LEN(C1352)-LEN(SUBSTITUTE(C1352,":",""))=2,"","0:")&amp;C1352)*86400,"")/VALUE(SUBSTITUTE(B1352,"K","")),0),60),"00"),""))</f>
        <v/>
      </c>
      <c r="G1352" s="21">
        <f>IF(A1352="","",IF(COUNTIF(Atletas!$A$2:$A$302,A1352)&gt;0,"Sí","No"))</f>
        <v/>
      </c>
    </row>
    <row r="1353">
      <c r="A1353" s="17" t="n"/>
      <c r="B1353" s="17" t="n"/>
      <c r="C1353" s="18" t="n"/>
      <c r="D1353" s="19" t="n"/>
      <c r="E1353" s="17" t="n"/>
      <c r="F1353" s="21">
        <f>IF(OR(B1353="",C1353=""),"",IFERROR(INT(ROUND(IFERROR(TIMEVALUE(IF(LEN(C1353)-LEN(SUBSTITUTE(C1353,":",""))=2,"","0:")&amp;C1353)*86400,"")/VALUE(SUBSTITUTE(B1353,"K","")),0)/60)&amp;":"&amp;TEXT(MOD(ROUND(IFERROR(TIMEVALUE(IF(LEN(C1353)-LEN(SUBSTITUTE(C1353,":",""))=2,"","0:")&amp;C1353)*86400,"")/VALUE(SUBSTITUTE(B1353,"K","")),0),60),"00"),""))</f>
        <v/>
      </c>
      <c r="G1353" s="21">
        <f>IF(A1353="","",IF(COUNTIF(Atletas!$A$2:$A$302,A1353)&gt;0,"Sí","No"))</f>
        <v/>
      </c>
    </row>
    <row r="1354">
      <c r="A1354" s="17" t="n"/>
      <c r="B1354" s="17" t="n"/>
      <c r="C1354" s="18" t="n"/>
      <c r="D1354" s="19" t="n"/>
      <c r="E1354" s="17" t="n"/>
      <c r="F1354" s="21">
        <f>IF(OR(B1354="",C1354=""),"",IFERROR(INT(ROUND(IFERROR(TIMEVALUE(IF(LEN(C1354)-LEN(SUBSTITUTE(C1354,":",""))=2,"","0:")&amp;C1354)*86400,"")/VALUE(SUBSTITUTE(B1354,"K","")),0)/60)&amp;":"&amp;TEXT(MOD(ROUND(IFERROR(TIMEVALUE(IF(LEN(C1354)-LEN(SUBSTITUTE(C1354,":",""))=2,"","0:")&amp;C1354)*86400,"")/VALUE(SUBSTITUTE(B1354,"K","")),0),60),"00"),""))</f>
        <v/>
      </c>
      <c r="G1354" s="21">
        <f>IF(A1354="","",IF(COUNTIF(Atletas!$A$2:$A$302,A1354)&gt;0,"Sí","No"))</f>
        <v/>
      </c>
    </row>
    <row r="1355">
      <c r="A1355" s="17" t="n"/>
      <c r="B1355" s="17" t="n"/>
      <c r="C1355" s="18" t="n"/>
      <c r="D1355" s="19" t="n"/>
      <c r="E1355" s="17" t="n"/>
      <c r="F1355" s="21">
        <f>IF(OR(B1355="",C1355=""),"",IFERROR(INT(ROUND(IFERROR(TIMEVALUE(IF(LEN(C1355)-LEN(SUBSTITUTE(C1355,":",""))=2,"","0:")&amp;C1355)*86400,"")/VALUE(SUBSTITUTE(B1355,"K","")),0)/60)&amp;":"&amp;TEXT(MOD(ROUND(IFERROR(TIMEVALUE(IF(LEN(C1355)-LEN(SUBSTITUTE(C1355,":",""))=2,"","0:")&amp;C1355)*86400,"")/VALUE(SUBSTITUTE(B1355,"K","")),0),60),"00"),""))</f>
        <v/>
      </c>
      <c r="G1355" s="21">
        <f>IF(A1355="","",IF(COUNTIF(Atletas!$A$2:$A$302,A1355)&gt;0,"Sí","No"))</f>
        <v/>
      </c>
    </row>
    <row r="1356">
      <c r="A1356" s="17" t="n"/>
      <c r="B1356" s="17" t="n"/>
      <c r="C1356" s="18" t="n"/>
      <c r="D1356" s="19" t="n"/>
      <c r="E1356" s="17" t="n"/>
      <c r="F1356" s="21">
        <f>IF(OR(B1356="",C1356=""),"",IFERROR(INT(ROUND(IFERROR(TIMEVALUE(IF(LEN(C1356)-LEN(SUBSTITUTE(C1356,":",""))=2,"","0:")&amp;C1356)*86400,"")/VALUE(SUBSTITUTE(B1356,"K","")),0)/60)&amp;":"&amp;TEXT(MOD(ROUND(IFERROR(TIMEVALUE(IF(LEN(C1356)-LEN(SUBSTITUTE(C1356,":",""))=2,"","0:")&amp;C1356)*86400,"")/VALUE(SUBSTITUTE(B1356,"K","")),0),60),"00"),""))</f>
        <v/>
      </c>
      <c r="G1356" s="21">
        <f>IF(A1356="","",IF(COUNTIF(Atletas!$A$2:$A$302,A1356)&gt;0,"Sí","No"))</f>
        <v/>
      </c>
    </row>
    <row r="1357">
      <c r="A1357" s="17" t="n"/>
      <c r="B1357" s="17" t="n"/>
      <c r="C1357" s="18" t="n"/>
      <c r="D1357" s="19" t="n"/>
      <c r="E1357" s="17" t="n"/>
      <c r="F1357" s="21">
        <f>IF(OR(B1357="",C1357=""),"",IFERROR(INT(ROUND(IFERROR(TIMEVALUE(IF(LEN(C1357)-LEN(SUBSTITUTE(C1357,":",""))=2,"","0:")&amp;C1357)*86400,"")/VALUE(SUBSTITUTE(B1357,"K","")),0)/60)&amp;":"&amp;TEXT(MOD(ROUND(IFERROR(TIMEVALUE(IF(LEN(C1357)-LEN(SUBSTITUTE(C1357,":",""))=2,"","0:")&amp;C1357)*86400,"")/VALUE(SUBSTITUTE(B1357,"K","")),0),60),"00"),""))</f>
        <v/>
      </c>
      <c r="G1357" s="21">
        <f>IF(A1357="","",IF(COUNTIF(Atletas!$A$2:$A$302,A1357)&gt;0,"Sí","No"))</f>
        <v/>
      </c>
    </row>
    <row r="1358">
      <c r="A1358" s="17" t="n"/>
      <c r="B1358" s="17" t="n"/>
      <c r="C1358" s="18" t="n"/>
      <c r="D1358" s="19" t="n"/>
      <c r="E1358" s="17" t="n"/>
      <c r="F1358" s="21">
        <f>IF(OR(B1358="",C1358=""),"",IFERROR(INT(ROUND(IFERROR(TIMEVALUE(IF(LEN(C1358)-LEN(SUBSTITUTE(C1358,":",""))=2,"","0:")&amp;C1358)*86400,"")/VALUE(SUBSTITUTE(B1358,"K","")),0)/60)&amp;":"&amp;TEXT(MOD(ROUND(IFERROR(TIMEVALUE(IF(LEN(C1358)-LEN(SUBSTITUTE(C1358,":",""))=2,"","0:")&amp;C1358)*86400,"")/VALUE(SUBSTITUTE(B1358,"K","")),0),60),"00"),""))</f>
        <v/>
      </c>
      <c r="G1358" s="21">
        <f>IF(A1358="","",IF(COUNTIF(Atletas!$A$2:$A$302,A1358)&gt;0,"Sí","No"))</f>
        <v/>
      </c>
    </row>
    <row r="1359">
      <c r="A1359" s="17" t="n"/>
      <c r="B1359" s="17" t="n"/>
      <c r="C1359" s="18" t="n"/>
      <c r="D1359" s="19" t="n"/>
      <c r="E1359" s="17" t="n"/>
      <c r="F1359" s="21">
        <f>IF(OR(B1359="",C1359=""),"",IFERROR(INT(ROUND(IFERROR(TIMEVALUE(IF(LEN(C1359)-LEN(SUBSTITUTE(C1359,":",""))=2,"","0:")&amp;C1359)*86400,"")/VALUE(SUBSTITUTE(B1359,"K","")),0)/60)&amp;":"&amp;TEXT(MOD(ROUND(IFERROR(TIMEVALUE(IF(LEN(C1359)-LEN(SUBSTITUTE(C1359,":",""))=2,"","0:")&amp;C1359)*86400,"")/VALUE(SUBSTITUTE(B1359,"K","")),0),60),"00"),""))</f>
        <v/>
      </c>
      <c r="G1359" s="21">
        <f>IF(A1359="","",IF(COUNTIF(Atletas!$A$2:$A$302,A1359)&gt;0,"Sí","No"))</f>
        <v/>
      </c>
    </row>
    <row r="1360">
      <c r="A1360" s="17" t="n"/>
      <c r="B1360" s="17" t="n"/>
      <c r="C1360" s="18" t="n"/>
      <c r="D1360" s="19" t="n"/>
      <c r="E1360" s="17" t="n"/>
      <c r="F1360" s="21">
        <f>IF(OR(B1360="",C1360=""),"",IFERROR(INT(ROUND(IFERROR(TIMEVALUE(IF(LEN(C1360)-LEN(SUBSTITUTE(C1360,":",""))=2,"","0:")&amp;C1360)*86400,"")/VALUE(SUBSTITUTE(B1360,"K","")),0)/60)&amp;":"&amp;TEXT(MOD(ROUND(IFERROR(TIMEVALUE(IF(LEN(C1360)-LEN(SUBSTITUTE(C1360,":",""))=2,"","0:")&amp;C1360)*86400,"")/VALUE(SUBSTITUTE(B1360,"K","")),0),60),"00"),""))</f>
        <v/>
      </c>
      <c r="G1360" s="21">
        <f>IF(A1360="","",IF(COUNTIF(Atletas!$A$2:$A$302,A1360)&gt;0,"Sí","No"))</f>
        <v/>
      </c>
    </row>
    <row r="1361">
      <c r="A1361" s="17" t="n"/>
      <c r="B1361" s="17" t="n"/>
      <c r="C1361" s="18" t="n"/>
      <c r="D1361" s="19" t="n"/>
      <c r="E1361" s="17" t="n"/>
      <c r="F1361" s="21">
        <f>IF(OR(B1361="",C1361=""),"",IFERROR(INT(ROUND(IFERROR(TIMEVALUE(IF(LEN(C1361)-LEN(SUBSTITUTE(C1361,":",""))=2,"","0:")&amp;C1361)*86400,"")/VALUE(SUBSTITUTE(B1361,"K","")),0)/60)&amp;":"&amp;TEXT(MOD(ROUND(IFERROR(TIMEVALUE(IF(LEN(C1361)-LEN(SUBSTITUTE(C1361,":",""))=2,"","0:")&amp;C1361)*86400,"")/VALUE(SUBSTITUTE(B1361,"K","")),0),60),"00"),""))</f>
        <v/>
      </c>
      <c r="G1361" s="21">
        <f>IF(A1361="","",IF(COUNTIF(Atletas!$A$2:$A$302,A1361)&gt;0,"Sí","No"))</f>
        <v/>
      </c>
    </row>
    <row r="1362">
      <c r="A1362" s="17" t="n"/>
      <c r="B1362" s="17" t="n"/>
      <c r="C1362" s="18" t="n"/>
      <c r="D1362" s="19" t="n"/>
      <c r="E1362" s="17" t="n"/>
      <c r="F1362" s="21">
        <f>IF(OR(B1362="",C1362=""),"",IFERROR(INT(ROUND(IFERROR(TIMEVALUE(IF(LEN(C1362)-LEN(SUBSTITUTE(C1362,":",""))=2,"","0:")&amp;C1362)*86400,"")/VALUE(SUBSTITUTE(B1362,"K","")),0)/60)&amp;":"&amp;TEXT(MOD(ROUND(IFERROR(TIMEVALUE(IF(LEN(C1362)-LEN(SUBSTITUTE(C1362,":",""))=2,"","0:")&amp;C1362)*86400,"")/VALUE(SUBSTITUTE(B1362,"K","")),0),60),"00"),""))</f>
        <v/>
      </c>
      <c r="G1362" s="21">
        <f>IF(A1362="","",IF(COUNTIF(Atletas!$A$2:$A$302,A1362)&gt;0,"Sí","No"))</f>
        <v/>
      </c>
    </row>
    <row r="1363">
      <c r="A1363" s="17" t="n"/>
      <c r="B1363" s="17" t="n"/>
      <c r="C1363" s="18" t="n"/>
      <c r="D1363" s="19" t="n"/>
      <c r="E1363" s="17" t="n"/>
      <c r="F1363" s="21">
        <f>IF(OR(B1363="",C1363=""),"",IFERROR(INT(ROUND(IFERROR(TIMEVALUE(IF(LEN(C1363)-LEN(SUBSTITUTE(C1363,":",""))=2,"","0:")&amp;C1363)*86400,"")/VALUE(SUBSTITUTE(B1363,"K","")),0)/60)&amp;":"&amp;TEXT(MOD(ROUND(IFERROR(TIMEVALUE(IF(LEN(C1363)-LEN(SUBSTITUTE(C1363,":",""))=2,"","0:")&amp;C1363)*86400,"")/VALUE(SUBSTITUTE(B1363,"K","")),0),60),"00"),""))</f>
        <v/>
      </c>
      <c r="G1363" s="21">
        <f>IF(A1363="","",IF(COUNTIF(Atletas!$A$2:$A$302,A1363)&gt;0,"Sí","No"))</f>
        <v/>
      </c>
    </row>
    <row r="1364">
      <c r="A1364" s="17" t="n"/>
      <c r="B1364" s="17" t="n"/>
      <c r="C1364" s="18" t="n"/>
      <c r="D1364" s="19" t="n"/>
      <c r="E1364" s="17" t="n"/>
      <c r="F1364" s="21">
        <f>IF(OR(B1364="",C1364=""),"",IFERROR(INT(ROUND(IFERROR(TIMEVALUE(IF(LEN(C1364)-LEN(SUBSTITUTE(C1364,":",""))=2,"","0:")&amp;C1364)*86400,"")/VALUE(SUBSTITUTE(B1364,"K","")),0)/60)&amp;":"&amp;TEXT(MOD(ROUND(IFERROR(TIMEVALUE(IF(LEN(C1364)-LEN(SUBSTITUTE(C1364,":",""))=2,"","0:")&amp;C1364)*86400,"")/VALUE(SUBSTITUTE(B1364,"K","")),0),60),"00"),""))</f>
        <v/>
      </c>
      <c r="G1364" s="21">
        <f>IF(A1364="","",IF(COUNTIF(Atletas!$A$2:$A$302,A1364)&gt;0,"Sí","No"))</f>
        <v/>
      </c>
    </row>
    <row r="1365">
      <c r="A1365" s="17" t="n"/>
      <c r="B1365" s="17" t="n"/>
      <c r="C1365" s="18" t="n"/>
      <c r="D1365" s="19" t="n"/>
      <c r="E1365" s="17" t="n"/>
      <c r="F1365" s="21">
        <f>IF(OR(B1365="",C1365=""),"",IFERROR(INT(ROUND(IFERROR(TIMEVALUE(IF(LEN(C1365)-LEN(SUBSTITUTE(C1365,":",""))=2,"","0:")&amp;C1365)*86400,"")/VALUE(SUBSTITUTE(B1365,"K","")),0)/60)&amp;":"&amp;TEXT(MOD(ROUND(IFERROR(TIMEVALUE(IF(LEN(C1365)-LEN(SUBSTITUTE(C1365,":",""))=2,"","0:")&amp;C1365)*86400,"")/VALUE(SUBSTITUTE(B1365,"K","")),0),60),"00"),""))</f>
        <v/>
      </c>
      <c r="G1365" s="21">
        <f>IF(A1365="","",IF(COUNTIF(Atletas!$A$2:$A$302,A1365)&gt;0,"Sí","No"))</f>
        <v/>
      </c>
    </row>
    <row r="1366">
      <c r="A1366" s="17" t="n"/>
      <c r="B1366" s="17" t="n"/>
      <c r="C1366" s="18" t="n"/>
      <c r="D1366" s="19" t="n"/>
      <c r="E1366" s="17" t="n"/>
      <c r="F1366" s="21">
        <f>IF(OR(B1366="",C1366=""),"",IFERROR(INT(ROUND(IFERROR(TIMEVALUE(IF(LEN(C1366)-LEN(SUBSTITUTE(C1366,":",""))=2,"","0:")&amp;C1366)*86400,"")/VALUE(SUBSTITUTE(B1366,"K","")),0)/60)&amp;":"&amp;TEXT(MOD(ROUND(IFERROR(TIMEVALUE(IF(LEN(C1366)-LEN(SUBSTITUTE(C1366,":",""))=2,"","0:")&amp;C1366)*86400,"")/VALUE(SUBSTITUTE(B1366,"K","")),0),60),"00"),""))</f>
        <v/>
      </c>
      <c r="G1366" s="21">
        <f>IF(A1366="","",IF(COUNTIF(Atletas!$A$2:$A$302,A1366)&gt;0,"Sí","No"))</f>
        <v/>
      </c>
    </row>
    <row r="1367">
      <c r="A1367" s="17" t="n"/>
      <c r="B1367" s="17" t="n"/>
      <c r="C1367" s="18" t="n"/>
      <c r="D1367" s="19" t="n"/>
      <c r="E1367" s="17" t="n"/>
      <c r="F1367" s="21">
        <f>IF(OR(B1367="",C1367=""),"",IFERROR(INT(ROUND(IFERROR(TIMEVALUE(IF(LEN(C1367)-LEN(SUBSTITUTE(C1367,":",""))=2,"","0:")&amp;C1367)*86400,"")/VALUE(SUBSTITUTE(B1367,"K","")),0)/60)&amp;":"&amp;TEXT(MOD(ROUND(IFERROR(TIMEVALUE(IF(LEN(C1367)-LEN(SUBSTITUTE(C1367,":",""))=2,"","0:")&amp;C1367)*86400,"")/VALUE(SUBSTITUTE(B1367,"K","")),0),60),"00"),""))</f>
        <v/>
      </c>
      <c r="G1367" s="21">
        <f>IF(A1367="","",IF(COUNTIF(Atletas!$A$2:$A$302,A1367)&gt;0,"Sí","No"))</f>
        <v/>
      </c>
    </row>
    <row r="1368">
      <c r="A1368" s="17" t="n"/>
      <c r="B1368" s="17" t="n"/>
      <c r="C1368" s="18" t="n"/>
      <c r="D1368" s="19" t="n"/>
      <c r="E1368" s="17" t="n"/>
      <c r="F1368" s="21">
        <f>IF(OR(B1368="",C1368=""),"",IFERROR(INT(ROUND(IFERROR(TIMEVALUE(IF(LEN(C1368)-LEN(SUBSTITUTE(C1368,":",""))=2,"","0:")&amp;C1368)*86400,"")/VALUE(SUBSTITUTE(B1368,"K","")),0)/60)&amp;":"&amp;TEXT(MOD(ROUND(IFERROR(TIMEVALUE(IF(LEN(C1368)-LEN(SUBSTITUTE(C1368,":",""))=2,"","0:")&amp;C1368)*86400,"")/VALUE(SUBSTITUTE(B1368,"K","")),0),60),"00"),""))</f>
        <v/>
      </c>
      <c r="G1368" s="21">
        <f>IF(A1368="","",IF(COUNTIF(Atletas!$A$2:$A$302,A1368)&gt;0,"Sí","No"))</f>
        <v/>
      </c>
    </row>
    <row r="1369">
      <c r="A1369" s="17" t="n"/>
      <c r="B1369" s="17" t="n"/>
      <c r="C1369" s="18" t="n"/>
      <c r="D1369" s="19" t="n"/>
      <c r="E1369" s="17" t="n"/>
      <c r="F1369" s="21">
        <f>IF(OR(B1369="",C1369=""),"",IFERROR(INT(ROUND(IFERROR(TIMEVALUE(IF(LEN(C1369)-LEN(SUBSTITUTE(C1369,":",""))=2,"","0:")&amp;C1369)*86400,"")/VALUE(SUBSTITUTE(B1369,"K","")),0)/60)&amp;":"&amp;TEXT(MOD(ROUND(IFERROR(TIMEVALUE(IF(LEN(C1369)-LEN(SUBSTITUTE(C1369,":",""))=2,"","0:")&amp;C1369)*86400,"")/VALUE(SUBSTITUTE(B1369,"K","")),0),60),"00"),""))</f>
        <v/>
      </c>
      <c r="G1369" s="21">
        <f>IF(A1369="","",IF(COUNTIF(Atletas!$A$2:$A$302,A1369)&gt;0,"Sí","No"))</f>
        <v/>
      </c>
    </row>
    <row r="1370">
      <c r="A1370" s="17" t="n"/>
      <c r="B1370" s="17" t="n"/>
      <c r="C1370" s="18" t="n"/>
      <c r="D1370" s="19" t="n"/>
      <c r="E1370" s="17" t="n"/>
      <c r="F1370" s="21">
        <f>IF(OR(B1370="",C1370=""),"",IFERROR(INT(ROUND(IFERROR(TIMEVALUE(IF(LEN(C1370)-LEN(SUBSTITUTE(C1370,":",""))=2,"","0:")&amp;C1370)*86400,"")/VALUE(SUBSTITUTE(B1370,"K","")),0)/60)&amp;":"&amp;TEXT(MOD(ROUND(IFERROR(TIMEVALUE(IF(LEN(C1370)-LEN(SUBSTITUTE(C1370,":",""))=2,"","0:")&amp;C1370)*86400,"")/VALUE(SUBSTITUTE(B1370,"K","")),0),60),"00"),""))</f>
        <v/>
      </c>
      <c r="G1370" s="21">
        <f>IF(A1370="","",IF(COUNTIF(Atletas!$A$2:$A$302,A1370)&gt;0,"Sí","No"))</f>
        <v/>
      </c>
    </row>
    <row r="1371">
      <c r="A1371" s="17" t="n"/>
      <c r="B1371" s="17" t="n"/>
      <c r="C1371" s="18" t="n"/>
      <c r="D1371" s="19" t="n"/>
      <c r="E1371" s="17" t="n"/>
      <c r="F1371" s="21">
        <f>IF(OR(B1371="",C1371=""),"",IFERROR(INT(ROUND(IFERROR(TIMEVALUE(IF(LEN(C1371)-LEN(SUBSTITUTE(C1371,":",""))=2,"","0:")&amp;C1371)*86400,"")/VALUE(SUBSTITUTE(B1371,"K","")),0)/60)&amp;":"&amp;TEXT(MOD(ROUND(IFERROR(TIMEVALUE(IF(LEN(C1371)-LEN(SUBSTITUTE(C1371,":",""))=2,"","0:")&amp;C1371)*86400,"")/VALUE(SUBSTITUTE(B1371,"K","")),0),60),"00"),""))</f>
        <v/>
      </c>
      <c r="G1371" s="21">
        <f>IF(A1371="","",IF(COUNTIF(Atletas!$A$2:$A$302,A1371)&gt;0,"Sí","No"))</f>
        <v/>
      </c>
    </row>
    <row r="1372">
      <c r="A1372" s="17" t="n"/>
      <c r="B1372" s="17" t="n"/>
      <c r="C1372" s="18" t="n"/>
      <c r="D1372" s="19" t="n"/>
      <c r="E1372" s="17" t="n"/>
      <c r="F1372" s="21">
        <f>IF(OR(B1372="",C1372=""),"",IFERROR(INT(ROUND(IFERROR(TIMEVALUE(IF(LEN(C1372)-LEN(SUBSTITUTE(C1372,":",""))=2,"","0:")&amp;C1372)*86400,"")/VALUE(SUBSTITUTE(B1372,"K","")),0)/60)&amp;":"&amp;TEXT(MOD(ROUND(IFERROR(TIMEVALUE(IF(LEN(C1372)-LEN(SUBSTITUTE(C1372,":",""))=2,"","0:")&amp;C1372)*86400,"")/VALUE(SUBSTITUTE(B1372,"K","")),0),60),"00"),""))</f>
        <v/>
      </c>
      <c r="G1372" s="21">
        <f>IF(A1372="","",IF(COUNTIF(Atletas!$A$2:$A$302,A1372)&gt;0,"Sí","No"))</f>
        <v/>
      </c>
    </row>
    <row r="1373">
      <c r="A1373" s="17" t="n"/>
      <c r="B1373" s="17" t="n"/>
      <c r="C1373" s="18" t="n"/>
      <c r="D1373" s="19" t="n"/>
      <c r="E1373" s="17" t="n"/>
      <c r="F1373" s="21">
        <f>IF(OR(B1373="",C1373=""),"",IFERROR(INT(ROUND(IFERROR(TIMEVALUE(IF(LEN(C1373)-LEN(SUBSTITUTE(C1373,":",""))=2,"","0:")&amp;C1373)*86400,"")/VALUE(SUBSTITUTE(B1373,"K","")),0)/60)&amp;":"&amp;TEXT(MOD(ROUND(IFERROR(TIMEVALUE(IF(LEN(C1373)-LEN(SUBSTITUTE(C1373,":",""))=2,"","0:")&amp;C1373)*86400,"")/VALUE(SUBSTITUTE(B1373,"K","")),0),60),"00"),""))</f>
        <v/>
      </c>
      <c r="G1373" s="21">
        <f>IF(A1373="","",IF(COUNTIF(Atletas!$A$2:$A$302,A1373)&gt;0,"Sí","No"))</f>
        <v/>
      </c>
    </row>
    <row r="1374">
      <c r="A1374" s="17" t="n"/>
      <c r="B1374" s="17" t="n"/>
      <c r="C1374" s="18" t="n"/>
      <c r="D1374" s="19" t="n"/>
      <c r="E1374" s="17" t="n"/>
      <c r="F1374" s="21">
        <f>IF(OR(B1374="",C1374=""),"",IFERROR(INT(ROUND(IFERROR(TIMEVALUE(IF(LEN(C1374)-LEN(SUBSTITUTE(C1374,":",""))=2,"","0:")&amp;C1374)*86400,"")/VALUE(SUBSTITUTE(B1374,"K","")),0)/60)&amp;":"&amp;TEXT(MOD(ROUND(IFERROR(TIMEVALUE(IF(LEN(C1374)-LEN(SUBSTITUTE(C1374,":",""))=2,"","0:")&amp;C1374)*86400,"")/VALUE(SUBSTITUTE(B1374,"K","")),0),60),"00"),""))</f>
        <v/>
      </c>
      <c r="G1374" s="21">
        <f>IF(A1374="","",IF(COUNTIF(Atletas!$A$2:$A$302,A1374)&gt;0,"Sí","No"))</f>
        <v/>
      </c>
    </row>
    <row r="1375">
      <c r="A1375" s="17" t="n"/>
      <c r="B1375" s="17" t="n"/>
      <c r="C1375" s="18" t="n"/>
      <c r="D1375" s="19" t="n"/>
      <c r="E1375" s="17" t="n"/>
      <c r="F1375" s="21">
        <f>IF(OR(B1375="",C1375=""),"",IFERROR(INT(ROUND(IFERROR(TIMEVALUE(IF(LEN(C1375)-LEN(SUBSTITUTE(C1375,":",""))=2,"","0:")&amp;C1375)*86400,"")/VALUE(SUBSTITUTE(B1375,"K","")),0)/60)&amp;":"&amp;TEXT(MOD(ROUND(IFERROR(TIMEVALUE(IF(LEN(C1375)-LEN(SUBSTITUTE(C1375,":",""))=2,"","0:")&amp;C1375)*86400,"")/VALUE(SUBSTITUTE(B1375,"K","")),0),60),"00"),""))</f>
        <v/>
      </c>
      <c r="G1375" s="21">
        <f>IF(A1375="","",IF(COUNTIF(Atletas!$A$2:$A$302,A1375)&gt;0,"Sí","No"))</f>
        <v/>
      </c>
    </row>
    <row r="1376">
      <c r="A1376" s="17" t="n"/>
      <c r="B1376" s="17" t="n"/>
      <c r="C1376" s="18" t="n"/>
      <c r="D1376" s="19" t="n"/>
      <c r="E1376" s="17" t="n"/>
      <c r="F1376" s="21">
        <f>IF(OR(B1376="",C1376=""),"",IFERROR(INT(ROUND(IFERROR(TIMEVALUE(IF(LEN(C1376)-LEN(SUBSTITUTE(C1376,":",""))=2,"","0:")&amp;C1376)*86400,"")/VALUE(SUBSTITUTE(B1376,"K","")),0)/60)&amp;":"&amp;TEXT(MOD(ROUND(IFERROR(TIMEVALUE(IF(LEN(C1376)-LEN(SUBSTITUTE(C1376,":",""))=2,"","0:")&amp;C1376)*86400,"")/VALUE(SUBSTITUTE(B1376,"K","")),0),60),"00"),""))</f>
        <v/>
      </c>
      <c r="G1376" s="21">
        <f>IF(A1376="","",IF(COUNTIF(Atletas!$A$2:$A$302,A1376)&gt;0,"Sí","No"))</f>
        <v/>
      </c>
    </row>
    <row r="1377">
      <c r="A1377" s="17" t="n"/>
      <c r="B1377" s="17" t="n"/>
      <c r="C1377" s="18" t="n"/>
      <c r="D1377" s="19" t="n"/>
      <c r="E1377" s="17" t="n"/>
      <c r="F1377" s="21">
        <f>IF(OR(B1377="",C1377=""),"",IFERROR(INT(ROUND(IFERROR(TIMEVALUE(IF(LEN(C1377)-LEN(SUBSTITUTE(C1377,":",""))=2,"","0:")&amp;C1377)*86400,"")/VALUE(SUBSTITUTE(B1377,"K","")),0)/60)&amp;":"&amp;TEXT(MOD(ROUND(IFERROR(TIMEVALUE(IF(LEN(C1377)-LEN(SUBSTITUTE(C1377,":",""))=2,"","0:")&amp;C1377)*86400,"")/VALUE(SUBSTITUTE(B1377,"K","")),0),60),"00"),""))</f>
        <v/>
      </c>
      <c r="G1377" s="21">
        <f>IF(A1377="","",IF(COUNTIF(Atletas!$A$2:$A$302,A1377)&gt;0,"Sí","No"))</f>
        <v/>
      </c>
    </row>
    <row r="1378">
      <c r="A1378" s="17" t="n"/>
      <c r="B1378" s="17" t="n"/>
      <c r="C1378" s="18" t="n"/>
      <c r="D1378" s="19" t="n"/>
      <c r="E1378" s="17" t="n"/>
      <c r="F1378" s="21">
        <f>IF(OR(B1378="",C1378=""),"",IFERROR(INT(ROUND(IFERROR(TIMEVALUE(IF(LEN(C1378)-LEN(SUBSTITUTE(C1378,":",""))=2,"","0:")&amp;C1378)*86400,"")/VALUE(SUBSTITUTE(B1378,"K","")),0)/60)&amp;":"&amp;TEXT(MOD(ROUND(IFERROR(TIMEVALUE(IF(LEN(C1378)-LEN(SUBSTITUTE(C1378,":",""))=2,"","0:")&amp;C1378)*86400,"")/VALUE(SUBSTITUTE(B1378,"K","")),0),60),"00"),""))</f>
        <v/>
      </c>
      <c r="G1378" s="21">
        <f>IF(A1378="","",IF(COUNTIF(Atletas!$A$2:$A$302,A1378)&gt;0,"Sí","No"))</f>
        <v/>
      </c>
    </row>
    <row r="1379">
      <c r="A1379" s="17" t="n"/>
      <c r="B1379" s="17" t="n"/>
      <c r="C1379" s="18" t="n"/>
      <c r="D1379" s="19" t="n"/>
      <c r="E1379" s="17" t="n"/>
      <c r="F1379" s="21">
        <f>IF(OR(B1379="",C1379=""),"",IFERROR(INT(ROUND(IFERROR(TIMEVALUE(IF(LEN(C1379)-LEN(SUBSTITUTE(C1379,":",""))=2,"","0:")&amp;C1379)*86400,"")/VALUE(SUBSTITUTE(B1379,"K","")),0)/60)&amp;":"&amp;TEXT(MOD(ROUND(IFERROR(TIMEVALUE(IF(LEN(C1379)-LEN(SUBSTITUTE(C1379,":",""))=2,"","0:")&amp;C1379)*86400,"")/VALUE(SUBSTITUTE(B1379,"K","")),0),60),"00"),""))</f>
        <v/>
      </c>
      <c r="G1379" s="21">
        <f>IF(A1379="","",IF(COUNTIF(Atletas!$A$2:$A$302,A1379)&gt;0,"Sí","No"))</f>
        <v/>
      </c>
    </row>
    <row r="1380">
      <c r="A1380" s="17" t="n"/>
      <c r="B1380" s="17" t="n"/>
      <c r="C1380" s="18" t="n"/>
      <c r="D1380" s="19" t="n"/>
      <c r="E1380" s="17" t="n"/>
      <c r="F1380" s="21">
        <f>IF(OR(B1380="",C1380=""),"",IFERROR(INT(ROUND(IFERROR(TIMEVALUE(IF(LEN(C1380)-LEN(SUBSTITUTE(C1380,":",""))=2,"","0:")&amp;C1380)*86400,"")/VALUE(SUBSTITUTE(B1380,"K","")),0)/60)&amp;":"&amp;TEXT(MOD(ROUND(IFERROR(TIMEVALUE(IF(LEN(C1380)-LEN(SUBSTITUTE(C1380,":",""))=2,"","0:")&amp;C1380)*86400,"")/VALUE(SUBSTITUTE(B1380,"K","")),0),60),"00"),""))</f>
        <v/>
      </c>
      <c r="G1380" s="21">
        <f>IF(A1380="","",IF(COUNTIF(Atletas!$A$2:$A$302,A1380)&gt;0,"Sí","No"))</f>
        <v/>
      </c>
    </row>
    <row r="1381">
      <c r="A1381" s="17" t="n"/>
      <c r="B1381" s="17" t="n"/>
      <c r="C1381" s="18" t="n"/>
      <c r="D1381" s="19" t="n"/>
      <c r="E1381" s="17" t="n"/>
      <c r="F1381" s="21">
        <f>IF(OR(B1381="",C1381=""),"",IFERROR(INT(ROUND(IFERROR(TIMEVALUE(IF(LEN(C1381)-LEN(SUBSTITUTE(C1381,":",""))=2,"","0:")&amp;C1381)*86400,"")/VALUE(SUBSTITUTE(B1381,"K","")),0)/60)&amp;":"&amp;TEXT(MOD(ROUND(IFERROR(TIMEVALUE(IF(LEN(C1381)-LEN(SUBSTITUTE(C1381,":",""))=2,"","0:")&amp;C1381)*86400,"")/VALUE(SUBSTITUTE(B1381,"K","")),0),60),"00"),""))</f>
        <v/>
      </c>
      <c r="G1381" s="21">
        <f>IF(A1381="","",IF(COUNTIF(Atletas!$A$2:$A$302,A1381)&gt;0,"Sí","No"))</f>
        <v/>
      </c>
    </row>
    <row r="1382">
      <c r="A1382" s="17" t="n"/>
      <c r="B1382" s="17" t="n"/>
      <c r="C1382" s="18" t="n"/>
      <c r="D1382" s="19" t="n"/>
      <c r="E1382" s="17" t="n"/>
      <c r="F1382" s="21">
        <f>IF(OR(B1382="",C1382=""),"",IFERROR(INT(ROUND(IFERROR(TIMEVALUE(IF(LEN(C1382)-LEN(SUBSTITUTE(C1382,":",""))=2,"","0:")&amp;C1382)*86400,"")/VALUE(SUBSTITUTE(B1382,"K","")),0)/60)&amp;":"&amp;TEXT(MOD(ROUND(IFERROR(TIMEVALUE(IF(LEN(C1382)-LEN(SUBSTITUTE(C1382,":",""))=2,"","0:")&amp;C1382)*86400,"")/VALUE(SUBSTITUTE(B1382,"K","")),0),60),"00"),""))</f>
        <v/>
      </c>
      <c r="G1382" s="21">
        <f>IF(A1382="","",IF(COUNTIF(Atletas!$A$2:$A$302,A1382)&gt;0,"Sí","No"))</f>
        <v/>
      </c>
    </row>
    <row r="1383">
      <c r="A1383" s="17" t="n"/>
      <c r="B1383" s="17" t="n"/>
      <c r="C1383" s="18" t="n"/>
      <c r="D1383" s="19" t="n"/>
      <c r="E1383" s="17" t="n"/>
      <c r="F1383" s="21">
        <f>IF(OR(B1383="",C1383=""),"",IFERROR(INT(ROUND(IFERROR(TIMEVALUE(IF(LEN(C1383)-LEN(SUBSTITUTE(C1383,":",""))=2,"","0:")&amp;C1383)*86400,"")/VALUE(SUBSTITUTE(B1383,"K","")),0)/60)&amp;":"&amp;TEXT(MOD(ROUND(IFERROR(TIMEVALUE(IF(LEN(C1383)-LEN(SUBSTITUTE(C1383,":",""))=2,"","0:")&amp;C1383)*86400,"")/VALUE(SUBSTITUTE(B1383,"K","")),0),60),"00"),""))</f>
        <v/>
      </c>
      <c r="G1383" s="21">
        <f>IF(A1383="","",IF(COUNTIF(Atletas!$A$2:$A$302,A1383)&gt;0,"Sí","No"))</f>
        <v/>
      </c>
    </row>
    <row r="1384">
      <c r="A1384" s="17" t="n"/>
      <c r="B1384" s="17" t="n"/>
      <c r="C1384" s="18" t="n"/>
      <c r="D1384" s="19" t="n"/>
      <c r="E1384" s="17" t="n"/>
      <c r="F1384" s="21">
        <f>IF(OR(B1384="",C1384=""),"",IFERROR(INT(ROUND(IFERROR(TIMEVALUE(IF(LEN(C1384)-LEN(SUBSTITUTE(C1384,":",""))=2,"","0:")&amp;C1384)*86400,"")/VALUE(SUBSTITUTE(B1384,"K","")),0)/60)&amp;":"&amp;TEXT(MOD(ROUND(IFERROR(TIMEVALUE(IF(LEN(C1384)-LEN(SUBSTITUTE(C1384,":",""))=2,"","0:")&amp;C1384)*86400,"")/VALUE(SUBSTITUTE(B1384,"K","")),0),60),"00"),""))</f>
        <v/>
      </c>
      <c r="G1384" s="21">
        <f>IF(A1384="","",IF(COUNTIF(Atletas!$A$2:$A$302,A1384)&gt;0,"Sí","No"))</f>
        <v/>
      </c>
    </row>
    <row r="1385">
      <c r="A1385" s="17" t="n"/>
      <c r="B1385" s="17" t="n"/>
      <c r="C1385" s="18" t="n"/>
      <c r="D1385" s="19" t="n"/>
      <c r="E1385" s="17" t="n"/>
      <c r="F1385" s="21">
        <f>IF(OR(B1385="",C1385=""),"",IFERROR(INT(ROUND(IFERROR(TIMEVALUE(IF(LEN(C1385)-LEN(SUBSTITUTE(C1385,":",""))=2,"","0:")&amp;C1385)*86400,"")/VALUE(SUBSTITUTE(B1385,"K","")),0)/60)&amp;":"&amp;TEXT(MOD(ROUND(IFERROR(TIMEVALUE(IF(LEN(C1385)-LEN(SUBSTITUTE(C1385,":",""))=2,"","0:")&amp;C1385)*86400,"")/VALUE(SUBSTITUTE(B1385,"K","")),0),60),"00"),""))</f>
        <v/>
      </c>
      <c r="G1385" s="21">
        <f>IF(A1385="","",IF(COUNTIF(Atletas!$A$2:$A$302,A1385)&gt;0,"Sí","No"))</f>
        <v/>
      </c>
    </row>
    <row r="1386">
      <c r="A1386" s="17" t="n"/>
      <c r="B1386" s="17" t="n"/>
      <c r="C1386" s="18" t="n"/>
      <c r="D1386" s="19" t="n"/>
      <c r="E1386" s="17" t="n"/>
      <c r="F1386" s="21">
        <f>IF(OR(B1386="",C1386=""),"",IFERROR(INT(ROUND(IFERROR(TIMEVALUE(IF(LEN(C1386)-LEN(SUBSTITUTE(C1386,":",""))=2,"","0:")&amp;C1386)*86400,"")/VALUE(SUBSTITUTE(B1386,"K","")),0)/60)&amp;":"&amp;TEXT(MOD(ROUND(IFERROR(TIMEVALUE(IF(LEN(C1386)-LEN(SUBSTITUTE(C1386,":",""))=2,"","0:")&amp;C1386)*86400,"")/VALUE(SUBSTITUTE(B1386,"K","")),0),60),"00"),""))</f>
        <v/>
      </c>
      <c r="G1386" s="21">
        <f>IF(A1386="","",IF(COUNTIF(Atletas!$A$2:$A$302,A1386)&gt;0,"Sí","No"))</f>
        <v/>
      </c>
    </row>
    <row r="1387">
      <c r="A1387" s="17" t="n"/>
      <c r="B1387" s="17" t="n"/>
      <c r="C1387" s="18" t="n"/>
      <c r="D1387" s="19" t="n"/>
      <c r="E1387" s="17" t="n"/>
      <c r="F1387" s="21">
        <f>IF(OR(B1387="",C1387=""),"",IFERROR(INT(ROUND(IFERROR(TIMEVALUE(IF(LEN(C1387)-LEN(SUBSTITUTE(C1387,":",""))=2,"","0:")&amp;C1387)*86400,"")/VALUE(SUBSTITUTE(B1387,"K","")),0)/60)&amp;":"&amp;TEXT(MOD(ROUND(IFERROR(TIMEVALUE(IF(LEN(C1387)-LEN(SUBSTITUTE(C1387,":",""))=2,"","0:")&amp;C1387)*86400,"")/VALUE(SUBSTITUTE(B1387,"K","")),0),60),"00"),""))</f>
        <v/>
      </c>
      <c r="G1387" s="21">
        <f>IF(A1387="","",IF(COUNTIF(Atletas!$A$2:$A$302,A1387)&gt;0,"Sí","No"))</f>
        <v/>
      </c>
    </row>
    <row r="1388">
      <c r="A1388" s="17" t="n"/>
      <c r="B1388" s="17" t="n"/>
      <c r="C1388" s="18" t="n"/>
      <c r="D1388" s="19" t="n"/>
      <c r="E1388" s="17" t="n"/>
      <c r="F1388" s="21">
        <f>IF(OR(B1388="",C1388=""),"",IFERROR(INT(ROUND(IFERROR(TIMEVALUE(IF(LEN(C1388)-LEN(SUBSTITUTE(C1388,":",""))=2,"","0:")&amp;C1388)*86400,"")/VALUE(SUBSTITUTE(B1388,"K","")),0)/60)&amp;":"&amp;TEXT(MOD(ROUND(IFERROR(TIMEVALUE(IF(LEN(C1388)-LEN(SUBSTITUTE(C1388,":",""))=2,"","0:")&amp;C1388)*86400,"")/VALUE(SUBSTITUTE(B1388,"K","")),0),60),"00"),""))</f>
        <v/>
      </c>
      <c r="G1388" s="21">
        <f>IF(A1388="","",IF(COUNTIF(Atletas!$A$2:$A$302,A1388)&gt;0,"Sí","No"))</f>
        <v/>
      </c>
    </row>
    <row r="1389">
      <c r="A1389" s="17" t="n"/>
      <c r="B1389" s="17" t="n"/>
      <c r="C1389" s="18" t="n"/>
      <c r="D1389" s="19" t="n"/>
      <c r="E1389" s="17" t="n"/>
      <c r="F1389" s="21">
        <f>IF(OR(B1389="",C1389=""),"",IFERROR(INT(ROUND(IFERROR(TIMEVALUE(IF(LEN(C1389)-LEN(SUBSTITUTE(C1389,":",""))=2,"","0:")&amp;C1389)*86400,"")/VALUE(SUBSTITUTE(B1389,"K","")),0)/60)&amp;":"&amp;TEXT(MOD(ROUND(IFERROR(TIMEVALUE(IF(LEN(C1389)-LEN(SUBSTITUTE(C1389,":",""))=2,"","0:")&amp;C1389)*86400,"")/VALUE(SUBSTITUTE(B1389,"K","")),0),60),"00"),""))</f>
        <v/>
      </c>
      <c r="G1389" s="21">
        <f>IF(A1389="","",IF(COUNTIF(Atletas!$A$2:$A$302,A1389)&gt;0,"Sí","No"))</f>
        <v/>
      </c>
    </row>
    <row r="1390">
      <c r="A1390" s="17" t="n"/>
      <c r="B1390" s="17" t="n"/>
      <c r="C1390" s="18" t="n"/>
      <c r="D1390" s="19" t="n"/>
      <c r="E1390" s="17" t="n"/>
      <c r="F1390" s="21">
        <f>IF(OR(B1390="",C1390=""),"",IFERROR(INT(ROUND(IFERROR(TIMEVALUE(IF(LEN(C1390)-LEN(SUBSTITUTE(C1390,":",""))=2,"","0:")&amp;C1390)*86400,"")/VALUE(SUBSTITUTE(B1390,"K","")),0)/60)&amp;":"&amp;TEXT(MOD(ROUND(IFERROR(TIMEVALUE(IF(LEN(C1390)-LEN(SUBSTITUTE(C1390,":",""))=2,"","0:")&amp;C1390)*86400,"")/VALUE(SUBSTITUTE(B1390,"K","")),0),60),"00"),""))</f>
        <v/>
      </c>
      <c r="G1390" s="21">
        <f>IF(A1390="","",IF(COUNTIF(Atletas!$A$2:$A$302,A1390)&gt;0,"Sí","No"))</f>
        <v/>
      </c>
    </row>
    <row r="1391">
      <c r="A1391" s="17" t="n"/>
      <c r="B1391" s="17" t="n"/>
      <c r="C1391" s="18" t="n"/>
      <c r="D1391" s="19" t="n"/>
      <c r="E1391" s="17" t="n"/>
      <c r="F1391" s="21">
        <f>IF(OR(B1391="",C1391=""),"",IFERROR(INT(ROUND(IFERROR(TIMEVALUE(IF(LEN(C1391)-LEN(SUBSTITUTE(C1391,":",""))=2,"","0:")&amp;C1391)*86400,"")/VALUE(SUBSTITUTE(B1391,"K","")),0)/60)&amp;":"&amp;TEXT(MOD(ROUND(IFERROR(TIMEVALUE(IF(LEN(C1391)-LEN(SUBSTITUTE(C1391,":",""))=2,"","0:")&amp;C1391)*86400,"")/VALUE(SUBSTITUTE(B1391,"K","")),0),60),"00"),""))</f>
        <v/>
      </c>
      <c r="G1391" s="21">
        <f>IF(A1391="","",IF(COUNTIF(Atletas!$A$2:$A$302,A1391)&gt;0,"Sí","No"))</f>
        <v/>
      </c>
    </row>
    <row r="1392">
      <c r="A1392" s="17" t="n"/>
      <c r="B1392" s="17" t="n"/>
      <c r="C1392" s="18" t="n"/>
      <c r="D1392" s="19" t="n"/>
      <c r="E1392" s="17" t="n"/>
      <c r="F1392" s="21">
        <f>IF(OR(B1392="",C1392=""),"",IFERROR(INT(ROUND(IFERROR(TIMEVALUE(IF(LEN(C1392)-LEN(SUBSTITUTE(C1392,":",""))=2,"","0:")&amp;C1392)*86400,"")/VALUE(SUBSTITUTE(B1392,"K","")),0)/60)&amp;":"&amp;TEXT(MOD(ROUND(IFERROR(TIMEVALUE(IF(LEN(C1392)-LEN(SUBSTITUTE(C1392,":",""))=2,"","0:")&amp;C1392)*86400,"")/VALUE(SUBSTITUTE(B1392,"K","")),0),60),"00"),""))</f>
        <v/>
      </c>
      <c r="G1392" s="21">
        <f>IF(A1392="","",IF(COUNTIF(Atletas!$A$2:$A$302,A1392)&gt;0,"Sí","No"))</f>
        <v/>
      </c>
    </row>
    <row r="1393">
      <c r="A1393" s="17" t="n"/>
      <c r="B1393" s="17" t="n"/>
      <c r="C1393" s="18" t="n"/>
      <c r="D1393" s="19" t="n"/>
      <c r="E1393" s="17" t="n"/>
      <c r="F1393" s="21">
        <f>IF(OR(B1393="",C1393=""),"",IFERROR(INT(ROUND(IFERROR(TIMEVALUE(IF(LEN(C1393)-LEN(SUBSTITUTE(C1393,":",""))=2,"","0:")&amp;C1393)*86400,"")/VALUE(SUBSTITUTE(B1393,"K","")),0)/60)&amp;":"&amp;TEXT(MOD(ROUND(IFERROR(TIMEVALUE(IF(LEN(C1393)-LEN(SUBSTITUTE(C1393,":",""))=2,"","0:")&amp;C1393)*86400,"")/VALUE(SUBSTITUTE(B1393,"K","")),0),60),"00"),""))</f>
        <v/>
      </c>
      <c r="G1393" s="21">
        <f>IF(A1393="","",IF(COUNTIF(Atletas!$A$2:$A$302,A1393)&gt;0,"Sí","No"))</f>
        <v/>
      </c>
    </row>
    <row r="1394">
      <c r="A1394" s="17" t="n"/>
      <c r="B1394" s="17" t="n"/>
      <c r="C1394" s="18" t="n"/>
      <c r="D1394" s="19" t="n"/>
      <c r="E1394" s="17" t="n"/>
      <c r="F1394" s="21">
        <f>IF(OR(B1394="",C1394=""),"",IFERROR(INT(ROUND(IFERROR(TIMEVALUE(IF(LEN(C1394)-LEN(SUBSTITUTE(C1394,":",""))=2,"","0:")&amp;C1394)*86400,"")/VALUE(SUBSTITUTE(B1394,"K","")),0)/60)&amp;":"&amp;TEXT(MOD(ROUND(IFERROR(TIMEVALUE(IF(LEN(C1394)-LEN(SUBSTITUTE(C1394,":",""))=2,"","0:")&amp;C1394)*86400,"")/VALUE(SUBSTITUTE(B1394,"K","")),0),60),"00"),""))</f>
        <v/>
      </c>
      <c r="G1394" s="21">
        <f>IF(A1394="","",IF(COUNTIF(Atletas!$A$2:$A$302,A1394)&gt;0,"Sí","No"))</f>
        <v/>
      </c>
    </row>
    <row r="1395">
      <c r="A1395" s="17" t="n"/>
      <c r="B1395" s="17" t="n"/>
      <c r="C1395" s="18" t="n"/>
      <c r="D1395" s="19" t="n"/>
      <c r="E1395" s="17" t="n"/>
      <c r="F1395" s="21">
        <f>IF(OR(B1395="",C1395=""),"",IFERROR(INT(ROUND(IFERROR(TIMEVALUE(IF(LEN(C1395)-LEN(SUBSTITUTE(C1395,":",""))=2,"","0:")&amp;C1395)*86400,"")/VALUE(SUBSTITUTE(B1395,"K","")),0)/60)&amp;":"&amp;TEXT(MOD(ROUND(IFERROR(TIMEVALUE(IF(LEN(C1395)-LEN(SUBSTITUTE(C1395,":",""))=2,"","0:")&amp;C1395)*86400,"")/VALUE(SUBSTITUTE(B1395,"K","")),0),60),"00"),""))</f>
        <v/>
      </c>
      <c r="G1395" s="21">
        <f>IF(A1395="","",IF(COUNTIF(Atletas!$A$2:$A$302,A1395)&gt;0,"Sí","No"))</f>
        <v/>
      </c>
    </row>
    <row r="1396">
      <c r="A1396" s="17" t="n"/>
      <c r="B1396" s="17" t="n"/>
      <c r="C1396" s="18" t="n"/>
      <c r="D1396" s="19" t="n"/>
      <c r="E1396" s="17" t="n"/>
      <c r="F1396" s="21">
        <f>IF(OR(B1396="",C1396=""),"",IFERROR(INT(ROUND(IFERROR(TIMEVALUE(IF(LEN(C1396)-LEN(SUBSTITUTE(C1396,":",""))=2,"","0:")&amp;C1396)*86400,"")/VALUE(SUBSTITUTE(B1396,"K","")),0)/60)&amp;":"&amp;TEXT(MOD(ROUND(IFERROR(TIMEVALUE(IF(LEN(C1396)-LEN(SUBSTITUTE(C1396,":",""))=2,"","0:")&amp;C1396)*86400,"")/VALUE(SUBSTITUTE(B1396,"K","")),0),60),"00"),""))</f>
        <v/>
      </c>
      <c r="G1396" s="21">
        <f>IF(A1396="","",IF(COUNTIF(Atletas!$A$2:$A$302,A1396)&gt;0,"Sí","No"))</f>
        <v/>
      </c>
    </row>
    <row r="1397">
      <c r="A1397" s="17" t="n"/>
      <c r="B1397" s="17" t="n"/>
      <c r="C1397" s="18" t="n"/>
      <c r="D1397" s="19" t="n"/>
      <c r="E1397" s="17" t="n"/>
      <c r="F1397" s="21">
        <f>IF(OR(B1397="",C1397=""),"",IFERROR(INT(ROUND(IFERROR(TIMEVALUE(IF(LEN(C1397)-LEN(SUBSTITUTE(C1397,":",""))=2,"","0:")&amp;C1397)*86400,"")/VALUE(SUBSTITUTE(B1397,"K","")),0)/60)&amp;":"&amp;TEXT(MOD(ROUND(IFERROR(TIMEVALUE(IF(LEN(C1397)-LEN(SUBSTITUTE(C1397,":",""))=2,"","0:")&amp;C1397)*86400,"")/VALUE(SUBSTITUTE(B1397,"K","")),0),60),"00"),""))</f>
        <v/>
      </c>
      <c r="G1397" s="21">
        <f>IF(A1397="","",IF(COUNTIF(Atletas!$A$2:$A$302,A1397)&gt;0,"Sí","No"))</f>
        <v/>
      </c>
    </row>
    <row r="1398">
      <c r="A1398" s="17" t="n"/>
      <c r="B1398" s="17" t="n"/>
      <c r="C1398" s="18" t="n"/>
      <c r="D1398" s="19" t="n"/>
      <c r="E1398" s="17" t="n"/>
      <c r="F1398" s="21">
        <f>IF(OR(B1398="",C1398=""),"",IFERROR(INT(ROUND(IFERROR(TIMEVALUE(IF(LEN(C1398)-LEN(SUBSTITUTE(C1398,":",""))=2,"","0:")&amp;C1398)*86400,"")/VALUE(SUBSTITUTE(B1398,"K","")),0)/60)&amp;":"&amp;TEXT(MOD(ROUND(IFERROR(TIMEVALUE(IF(LEN(C1398)-LEN(SUBSTITUTE(C1398,":",""))=2,"","0:")&amp;C1398)*86400,"")/VALUE(SUBSTITUTE(B1398,"K","")),0),60),"00"),""))</f>
        <v/>
      </c>
      <c r="G1398" s="21">
        <f>IF(A1398="","",IF(COUNTIF(Atletas!$A$2:$A$302,A1398)&gt;0,"Sí","No"))</f>
        <v/>
      </c>
    </row>
    <row r="1399">
      <c r="A1399" s="17" t="n"/>
      <c r="B1399" s="17" t="n"/>
      <c r="C1399" s="18" t="n"/>
      <c r="D1399" s="19" t="n"/>
      <c r="E1399" s="17" t="n"/>
      <c r="F1399" s="21">
        <f>IF(OR(B1399="",C1399=""),"",IFERROR(INT(ROUND(IFERROR(TIMEVALUE(IF(LEN(C1399)-LEN(SUBSTITUTE(C1399,":",""))=2,"","0:")&amp;C1399)*86400,"")/VALUE(SUBSTITUTE(B1399,"K","")),0)/60)&amp;":"&amp;TEXT(MOD(ROUND(IFERROR(TIMEVALUE(IF(LEN(C1399)-LEN(SUBSTITUTE(C1399,":",""))=2,"","0:")&amp;C1399)*86400,"")/VALUE(SUBSTITUTE(B1399,"K","")),0),60),"00"),""))</f>
        <v/>
      </c>
      <c r="G1399" s="21">
        <f>IF(A1399="","",IF(COUNTIF(Atletas!$A$2:$A$302,A1399)&gt;0,"Sí","No"))</f>
        <v/>
      </c>
    </row>
    <row r="1400">
      <c r="A1400" s="17" t="n"/>
      <c r="B1400" s="17" t="n"/>
      <c r="C1400" s="18" t="n"/>
      <c r="D1400" s="19" t="n"/>
      <c r="E1400" s="17" t="n"/>
      <c r="F1400" s="21">
        <f>IF(OR(B1400="",C1400=""),"",IFERROR(INT(ROUND(IFERROR(TIMEVALUE(IF(LEN(C1400)-LEN(SUBSTITUTE(C1400,":",""))=2,"","0:")&amp;C1400)*86400,"")/VALUE(SUBSTITUTE(B1400,"K","")),0)/60)&amp;":"&amp;TEXT(MOD(ROUND(IFERROR(TIMEVALUE(IF(LEN(C1400)-LEN(SUBSTITUTE(C1400,":",""))=2,"","0:")&amp;C1400)*86400,"")/VALUE(SUBSTITUTE(B1400,"K","")),0),60),"00"),""))</f>
        <v/>
      </c>
      <c r="G1400" s="21">
        <f>IF(A1400="","",IF(COUNTIF(Atletas!$A$2:$A$302,A1400)&gt;0,"Sí","No"))</f>
        <v/>
      </c>
    </row>
    <row r="1401">
      <c r="A1401" s="17" t="n"/>
      <c r="B1401" s="17" t="n"/>
      <c r="C1401" s="18" t="n"/>
      <c r="D1401" s="19" t="n"/>
      <c r="E1401" s="17" t="n"/>
      <c r="F1401" s="21">
        <f>IF(OR(B1401="",C1401=""),"",IFERROR(INT(ROUND(IFERROR(TIMEVALUE(IF(LEN(C1401)-LEN(SUBSTITUTE(C1401,":",""))=2,"","0:")&amp;C1401)*86400,"")/VALUE(SUBSTITUTE(B1401,"K","")),0)/60)&amp;":"&amp;TEXT(MOD(ROUND(IFERROR(TIMEVALUE(IF(LEN(C1401)-LEN(SUBSTITUTE(C1401,":",""))=2,"","0:")&amp;C1401)*86400,"")/VALUE(SUBSTITUTE(B1401,"K","")),0),60),"00"),""))</f>
        <v/>
      </c>
      <c r="G1401" s="21">
        <f>IF(A1401="","",IF(COUNTIF(Atletas!$A$2:$A$302,A1401)&gt;0,"Sí","No"))</f>
        <v/>
      </c>
    </row>
    <row r="1402">
      <c r="A1402" s="17" t="n"/>
      <c r="B1402" s="17" t="n"/>
      <c r="C1402" s="18" t="n"/>
      <c r="D1402" s="19" t="n"/>
      <c r="E1402" s="17" t="n"/>
      <c r="F1402" s="21">
        <f>IF(OR(B1402="",C1402=""),"",IFERROR(INT(ROUND(IFERROR(TIMEVALUE(IF(LEN(C1402)-LEN(SUBSTITUTE(C1402,":",""))=2,"","0:")&amp;C1402)*86400,"")/VALUE(SUBSTITUTE(B1402,"K","")),0)/60)&amp;":"&amp;TEXT(MOD(ROUND(IFERROR(TIMEVALUE(IF(LEN(C1402)-LEN(SUBSTITUTE(C1402,":",""))=2,"","0:")&amp;C1402)*86400,"")/VALUE(SUBSTITUTE(B1402,"K","")),0),60),"00"),""))</f>
        <v/>
      </c>
      <c r="G1402" s="21">
        <f>IF(A1402="","",IF(COUNTIF(Atletas!$A$2:$A$302,A1402)&gt;0,"Sí","No"))</f>
        <v/>
      </c>
    </row>
    <row r="1403">
      <c r="A1403" s="17" t="n"/>
      <c r="B1403" s="17" t="n"/>
      <c r="C1403" s="18" t="n"/>
      <c r="D1403" s="19" t="n"/>
      <c r="E1403" s="17" t="n"/>
      <c r="F1403" s="21">
        <f>IF(OR(B1403="",C1403=""),"",IFERROR(INT(ROUND(IFERROR(TIMEVALUE(IF(LEN(C1403)-LEN(SUBSTITUTE(C1403,":",""))=2,"","0:")&amp;C1403)*86400,"")/VALUE(SUBSTITUTE(B1403,"K","")),0)/60)&amp;":"&amp;TEXT(MOD(ROUND(IFERROR(TIMEVALUE(IF(LEN(C1403)-LEN(SUBSTITUTE(C1403,":",""))=2,"","0:")&amp;C1403)*86400,"")/VALUE(SUBSTITUTE(B1403,"K","")),0),60),"00"),""))</f>
        <v/>
      </c>
      <c r="G1403" s="21">
        <f>IF(A1403="","",IF(COUNTIF(Atletas!$A$2:$A$302,A1403)&gt;0,"Sí","No"))</f>
        <v/>
      </c>
    </row>
    <row r="1404">
      <c r="A1404" s="17" t="n"/>
      <c r="B1404" s="17" t="n"/>
      <c r="C1404" s="18" t="n"/>
      <c r="D1404" s="19" t="n"/>
      <c r="E1404" s="17" t="n"/>
      <c r="F1404" s="21">
        <f>IF(OR(B1404="",C1404=""),"",IFERROR(INT(ROUND(IFERROR(TIMEVALUE(IF(LEN(C1404)-LEN(SUBSTITUTE(C1404,":",""))=2,"","0:")&amp;C1404)*86400,"")/VALUE(SUBSTITUTE(B1404,"K","")),0)/60)&amp;":"&amp;TEXT(MOD(ROUND(IFERROR(TIMEVALUE(IF(LEN(C1404)-LEN(SUBSTITUTE(C1404,":",""))=2,"","0:")&amp;C1404)*86400,"")/VALUE(SUBSTITUTE(B1404,"K","")),0),60),"00"),""))</f>
        <v/>
      </c>
      <c r="G1404" s="21">
        <f>IF(A1404="","",IF(COUNTIF(Atletas!$A$2:$A$302,A1404)&gt;0,"Sí","No"))</f>
        <v/>
      </c>
    </row>
    <row r="1405">
      <c r="A1405" s="17" t="n"/>
      <c r="B1405" s="17" t="n"/>
      <c r="C1405" s="18" t="n"/>
      <c r="D1405" s="19" t="n"/>
      <c r="E1405" s="17" t="n"/>
      <c r="F1405" s="21">
        <f>IF(OR(B1405="",C1405=""),"",IFERROR(INT(ROUND(IFERROR(TIMEVALUE(IF(LEN(C1405)-LEN(SUBSTITUTE(C1405,":",""))=2,"","0:")&amp;C1405)*86400,"")/VALUE(SUBSTITUTE(B1405,"K","")),0)/60)&amp;":"&amp;TEXT(MOD(ROUND(IFERROR(TIMEVALUE(IF(LEN(C1405)-LEN(SUBSTITUTE(C1405,":",""))=2,"","0:")&amp;C1405)*86400,"")/VALUE(SUBSTITUTE(B1405,"K","")),0),60),"00"),""))</f>
        <v/>
      </c>
      <c r="G1405" s="21">
        <f>IF(A1405="","",IF(COUNTIF(Atletas!$A$2:$A$302,A1405)&gt;0,"Sí","No"))</f>
        <v/>
      </c>
    </row>
    <row r="1406">
      <c r="A1406" s="17" t="n"/>
      <c r="B1406" s="17" t="n"/>
      <c r="C1406" s="18" t="n"/>
      <c r="D1406" s="19" t="n"/>
      <c r="E1406" s="17" t="n"/>
      <c r="F1406" s="21">
        <f>IF(OR(B1406="",C1406=""),"",IFERROR(INT(ROUND(IFERROR(TIMEVALUE(IF(LEN(C1406)-LEN(SUBSTITUTE(C1406,":",""))=2,"","0:")&amp;C1406)*86400,"")/VALUE(SUBSTITUTE(B1406,"K","")),0)/60)&amp;":"&amp;TEXT(MOD(ROUND(IFERROR(TIMEVALUE(IF(LEN(C1406)-LEN(SUBSTITUTE(C1406,":",""))=2,"","0:")&amp;C1406)*86400,"")/VALUE(SUBSTITUTE(B1406,"K","")),0),60),"00"),""))</f>
        <v/>
      </c>
      <c r="G1406" s="21">
        <f>IF(A1406="","",IF(COUNTIF(Atletas!$A$2:$A$302,A1406)&gt;0,"Sí","No"))</f>
        <v/>
      </c>
    </row>
    <row r="1407">
      <c r="A1407" s="17" t="n"/>
      <c r="B1407" s="17" t="n"/>
      <c r="C1407" s="18" t="n"/>
      <c r="D1407" s="19" t="n"/>
      <c r="E1407" s="17" t="n"/>
      <c r="F1407" s="21">
        <f>IF(OR(B1407="",C1407=""),"",IFERROR(INT(ROUND(IFERROR(TIMEVALUE(IF(LEN(C1407)-LEN(SUBSTITUTE(C1407,":",""))=2,"","0:")&amp;C1407)*86400,"")/VALUE(SUBSTITUTE(B1407,"K","")),0)/60)&amp;":"&amp;TEXT(MOD(ROUND(IFERROR(TIMEVALUE(IF(LEN(C1407)-LEN(SUBSTITUTE(C1407,":",""))=2,"","0:")&amp;C1407)*86400,"")/VALUE(SUBSTITUTE(B1407,"K","")),0),60),"00"),""))</f>
        <v/>
      </c>
      <c r="G1407" s="21">
        <f>IF(A1407="","",IF(COUNTIF(Atletas!$A$2:$A$302,A1407)&gt;0,"Sí","No"))</f>
        <v/>
      </c>
    </row>
    <row r="1408">
      <c r="A1408" s="17" t="n"/>
      <c r="B1408" s="17" t="n"/>
      <c r="C1408" s="18" t="n"/>
      <c r="D1408" s="19" t="n"/>
      <c r="E1408" s="17" t="n"/>
      <c r="F1408" s="21">
        <f>IF(OR(B1408="",C1408=""),"",IFERROR(INT(ROUND(IFERROR(TIMEVALUE(IF(LEN(C1408)-LEN(SUBSTITUTE(C1408,":",""))=2,"","0:")&amp;C1408)*86400,"")/VALUE(SUBSTITUTE(B1408,"K","")),0)/60)&amp;":"&amp;TEXT(MOD(ROUND(IFERROR(TIMEVALUE(IF(LEN(C1408)-LEN(SUBSTITUTE(C1408,":",""))=2,"","0:")&amp;C1408)*86400,"")/VALUE(SUBSTITUTE(B1408,"K","")),0),60),"00"),""))</f>
        <v/>
      </c>
      <c r="G1408" s="21">
        <f>IF(A1408="","",IF(COUNTIF(Atletas!$A$2:$A$302,A1408)&gt;0,"Sí","No"))</f>
        <v/>
      </c>
    </row>
    <row r="1409">
      <c r="A1409" s="17" t="n"/>
      <c r="B1409" s="17" t="n"/>
      <c r="C1409" s="18" t="n"/>
      <c r="D1409" s="19" t="n"/>
      <c r="E1409" s="17" t="n"/>
      <c r="F1409" s="21">
        <f>IF(OR(B1409="",C1409=""),"",IFERROR(INT(ROUND(IFERROR(TIMEVALUE(IF(LEN(C1409)-LEN(SUBSTITUTE(C1409,":",""))=2,"","0:")&amp;C1409)*86400,"")/VALUE(SUBSTITUTE(B1409,"K","")),0)/60)&amp;":"&amp;TEXT(MOD(ROUND(IFERROR(TIMEVALUE(IF(LEN(C1409)-LEN(SUBSTITUTE(C1409,":",""))=2,"","0:")&amp;C1409)*86400,"")/VALUE(SUBSTITUTE(B1409,"K","")),0),60),"00"),""))</f>
        <v/>
      </c>
      <c r="G1409" s="21">
        <f>IF(A1409="","",IF(COUNTIF(Atletas!$A$2:$A$302,A1409)&gt;0,"Sí","No"))</f>
        <v/>
      </c>
    </row>
    <row r="1410">
      <c r="A1410" s="17" t="n"/>
      <c r="B1410" s="17" t="n"/>
      <c r="C1410" s="18" t="n"/>
      <c r="D1410" s="19" t="n"/>
      <c r="E1410" s="17" t="n"/>
      <c r="F1410" s="21">
        <f>IF(OR(B1410="",C1410=""),"",IFERROR(INT(ROUND(IFERROR(TIMEVALUE(IF(LEN(C1410)-LEN(SUBSTITUTE(C1410,":",""))=2,"","0:")&amp;C1410)*86400,"")/VALUE(SUBSTITUTE(B1410,"K","")),0)/60)&amp;":"&amp;TEXT(MOD(ROUND(IFERROR(TIMEVALUE(IF(LEN(C1410)-LEN(SUBSTITUTE(C1410,":",""))=2,"","0:")&amp;C1410)*86400,"")/VALUE(SUBSTITUTE(B1410,"K","")),0),60),"00"),""))</f>
        <v/>
      </c>
      <c r="G1410" s="21">
        <f>IF(A1410="","",IF(COUNTIF(Atletas!$A$2:$A$302,A1410)&gt;0,"Sí","No"))</f>
        <v/>
      </c>
    </row>
    <row r="1411">
      <c r="A1411" s="17" t="n"/>
      <c r="B1411" s="17" t="n"/>
      <c r="C1411" s="18" t="n"/>
      <c r="D1411" s="19" t="n"/>
      <c r="E1411" s="17" t="n"/>
      <c r="F1411" s="21">
        <f>IF(OR(B1411="",C1411=""),"",IFERROR(INT(ROUND(IFERROR(TIMEVALUE(IF(LEN(C1411)-LEN(SUBSTITUTE(C1411,":",""))=2,"","0:")&amp;C1411)*86400,"")/VALUE(SUBSTITUTE(B1411,"K","")),0)/60)&amp;":"&amp;TEXT(MOD(ROUND(IFERROR(TIMEVALUE(IF(LEN(C1411)-LEN(SUBSTITUTE(C1411,":",""))=2,"","0:")&amp;C1411)*86400,"")/VALUE(SUBSTITUTE(B1411,"K","")),0),60),"00"),""))</f>
        <v/>
      </c>
      <c r="G1411" s="21">
        <f>IF(A1411="","",IF(COUNTIF(Atletas!$A$2:$A$302,A1411)&gt;0,"Sí","No"))</f>
        <v/>
      </c>
    </row>
    <row r="1412">
      <c r="A1412" s="17" t="n"/>
      <c r="B1412" s="17" t="n"/>
      <c r="C1412" s="18" t="n"/>
      <c r="D1412" s="19" t="n"/>
      <c r="E1412" s="17" t="n"/>
      <c r="F1412" s="21">
        <f>IF(OR(B1412="",C1412=""),"",IFERROR(INT(ROUND(IFERROR(TIMEVALUE(IF(LEN(C1412)-LEN(SUBSTITUTE(C1412,":",""))=2,"","0:")&amp;C1412)*86400,"")/VALUE(SUBSTITUTE(B1412,"K","")),0)/60)&amp;":"&amp;TEXT(MOD(ROUND(IFERROR(TIMEVALUE(IF(LEN(C1412)-LEN(SUBSTITUTE(C1412,":",""))=2,"","0:")&amp;C1412)*86400,"")/VALUE(SUBSTITUTE(B1412,"K","")),0),60),"00"),""))</f>
        <v/>
      </c>
      <c r="G1412" s="21">
        <f>IF(A1412="","",IF(COUNTIF(Atletas!$A$2:$A$302,A1412)&gt;0,"Sí","No"))</f>
        <v/>
      </c>
    </row>
    <row r="1413">
      <c r="A1413" s="17" t="n"/>
      <c r="B1413" s="17" t="n"/>
      <c r="C1413" s="18" t="n"/>
      <c r="D1413" s="19" t="n"/>
      <c r="E1413" s="17" t="n"/>
      <c r="F1413" s="21">
        <f>IF(OR(B1413="",C1413=""),"",IFERROR(INT(ROUND(IFERROR(TIMEVALUE(IF(LEN(C1413)-LEN(SUBSTITUTE(C1413,":",""))=2,"","0:")&amp;C1413)*86400,"")/VALUE(SUBSTITUTE(B1413,"K","")),0)/60)&amp;":"&amp;TEXT(MOD(ROUND(IFERROR(TIMEVALUE(IF(LEN(C1413)-LEN(SUBSTITUTE(C1413,":",""))=2,"","0:")&amp;C1413)*86400,"")/VALUE(SUBSTITUTE(B1413,"K","")),0),60),"00"),""))</f>
        <v/>
      </c>
      <c r="G1413" s="21">
        <f>IF(A1413="","",IF(COUNTIF(Atletas!$A$2:$A$302,A1413)&gt;0,"Sí","No"))</f>
        <v/>
      </c>
    </row>
    <row r="1414">
      <c r="A1414" s="17" t="n"/>
      <c r="B1414" s="17" t="n"/>
      <c r="C1414" s="18" t="n"/>
      <c r="D1414" s="19" t="n"/>
      <c r="E1414" s="17" t="n"/>
      <c r="F1414" s="21">
        <f>IF(OR(B1414="",C1414=""),"",IFERROR(INT(ROUND(IFERROR(TIMEVALUE(IF(LEN(C1414)-LEN(SUBSTITUTE(C1414,":",""))=2,"","0:")&amp;C1414)*86400,"")/VALUE(SUBSTITUTE(B1414,"K","")),0)/60)&amp;":"&amp;TEXT(MOD(ROUND(IFERROR(TIMEVALUE(IF(LEN(C1414)-LEN(SUBSTITUTE(C1414,":",""))=2,"","0:")&amp;C1414)*86400,"")/VALUE(SUBSTITUTE(B1414,"K","")),0),60),"00"),""))</f>
        <v/>
      </c>
      <c r="G1414" s="21">
        <f>IF(A1414="","",IF(COUNTIF(Atletas!$A$2:$A$302,A1414)&gt;0,"Sí","No"))</f>
        <v/>
      </c>
    </row>
    <row r="1415">
      <c r="A1415" s="17" t="n"/>
      <c r="B1415" s="17" t="n"/>
      <c r="C1415" s="18" t="n"/>
      <c r="D1415" s="19" t="n"/>
      <c r="E1415" s="17" t="n"/>
      <c r="F1415" s="21">
        <f>IF(OR(B1415="",C1415=""),"",IFERROR(INT(ROUND(IFERROR(TIMEVALUE(IF(LEN(C1415)-LEN(SUBSTITUTE(C1415,":",""))=2,"","0:")&amp;C1415)*86400,"")/VALUE(SUBSTITUTE(B1415,"K","")),0)/60)&amp;":"&amp;TEXT(MOD(ROUND(IFERROR(TIMEVALUE(IF(LEN(C1415)-LEN(SUBSTITUTE(C1415,":",""))=2,"","0:")&amp;C1415)*86400,"")/VALUE(SUBSTITUTE(B1415,"K","")),0),60),"00"),""))</f>
        <v/>
      </c>
      <c r="G1415" s="21">
        <f>IF(A1415="","",IF(COUNTIF(Atletas!$A$2:$A$302,A1415)&gt;0,"Sí","No"))</f>
        <v/>
      </c>
    </row>
    <row r="1416">
      <c r="A1416" s="17" t="n"/>
      <c r="B1416" s="17" t="n"/>
      <c r="C1416" s="18" t="n"/>
      <c r="D1416" s="19" t="n"/>
      <c r="E1416" s="17" t="n"/>
      <c r="F1416" s="21">
        <f>IF(OR(B1416="",C1416=""),"",IFERROR(INT(ROUND(IFERROR(TIMEVALUE(IF(LEN(C1416)-LEN(SUBSTITUTE(C1416,":",""))=2,"","0:")&amp;C1416)*86400,"")/VALUE(SUBSTITUTE(B1416,"K","")),0)/60)&amp;":"&amp;TEXT(MOD(ROUND(IFERROR(TIMEVALUE(IF(LEN(C1416)-LEN(SUBSTITUTE(C1416,":",""))=2,"","0:")&amp;C1416)*86400,"")/VALUE(SUBSTITUTE(B1416,"K","")),0),60),"00"),""))</f>
        <v/>
      </c>
      <c r="G1416" s="21">
        <f>IF(A1416="","",IF(COUNTIF(Atletas!$A$2:$A$302,A1416)&gt;0,"Sí","No"))</f>
        <v/>
      </c>
    </row>
    <row r="1417">
      <c r="A1417" s="17" t="n"/>
      <c r="B1417" s="17" t="n"/>
      <c r="C1417" s="18" t="n"/>
      <c r="D1417" s="19" t="n"/>
      <c r="E1417" s="17" t="n"/>
      <c r="F1417" s="21">
        <f>IF(OR(B1417="",C1417=""),"",IFERROR(INT(ROUND(IFERROR(TIMEVALUE(IF(LEN(C1417)-LEN(SUBSTITUTE(C1417,":",""))=2,"","0:")&amp;C1417)*86400,"")/VALUE(SUBSTITUTE(B1417,"K","")),0)/60)&amp;":"&amp;TEXT(MOD(ROUND(IFERROR(TIMEVALUE(IF(LEN(C1417)-LEN(SUBSTITUTE(C1417,":",""))=2,"","0:")&amp;C1417)*86400,"")/VALUE(SUBSTITUTE(B1417,"K","")),0),60),"00"),""))</f>
        <v/>
      </c>
      <c r="G1417" s="21">
        <f>IF(A1417="","",IF(COUNTIF(Atletas!$A$2:$A$302,A1417)&gt;0,"Sí","No"))</f>
        <v/>
      </c>
    </row>
    <row r="1418">
      <c r="A1418" s="17" t="n"/>
      <c r="B1418" s="17" t="n"/>
      <c r="C1418" s="18" t="n"/>
      <c r="D1418" s="19" t="n"/>
      <c r="E1418" s="17" t="n"/>
      <c r="F1418" s="21">
        <f>IF(OR(B1418="",C1418=""),"",IFERROR(INT(ROUND(IFERROR(TIMEVALUE(IF(LEN(C1418)-LEN(SUBSTITUTE(C1418,":",""))=2,"","0:")&amp;C1418)*86400,"")/VALUE(SUBSTITUTE(B1418,"K","")),0)/60)&amp;":"&amp;TEXT(MOD(ROUND(IFERROR(TIMEVALUE(IF(LEN(C1418)-LEN(SUBSTITUTE(C1418,":",""))=2,"","0:")&amp;C1418)*86400,"")/VALUE(SUBSTITUTE(B1418,"K","")),0),60),"00"),""))</f>
        <v/>
      </c>
      <c r="G1418" s="21">
        <f>IF(A1418="","",IF(COUNTIF(Atletas!$A$2:$A$302,A1418)&gt;0,"Sí","No"))</f>
        <v/>
      </c>
    </row>
    <row r="1419">
      <c r="A1419" s="17" t="n"/>
      <c r="B1419" s="17" t="n"/>
      <c r="C1419" s="18" t="n"/>
      <c r="D1419" s="19" t="n"/>
      <c r="E1419" s="17" t="n"/>
      <c r="F1419" s="21">
        <f>IF(OR(B1419="",C1419=""),"",IFERROR(INT(ROUND(IFERROR(TIMEVALUE(IF(LEN(C1419)-LEN(SUBSTITUTE(C1419,":",""))=2,"","0:")&amp;C1419)*86400,"")/VALUE(SUBSTITUTE(B1419,"K","")),0)/60)&amp;":"&amp;TEXT(MOD(ROUND(IFERROR(TIMEVALUE(IF(LEN(C1419)-LEN(SUBSTITUTE(C1419,":",""))=2,"","0:")&amp;C1419)*86400,"")/VALUE(SUBSTITUTE(B1419,"K","")),0),60),"00"),""))</f>
        <v/>
      </c>
      <c r="G1419" s="21">
        <f>IF(A1419="","",IF(COUNTIF(Atletas!$A$2:$A$302,A1419)&gt;0,"Sí","No"))</f>
        <v/>
      </c>
    </row>
    <row r="1420">
      <c r="A1420" s="17" t="n"/>
      <c r="B1420" s="17" t="n"/>
      <c r="C1420" s="18" t="n"/>
      <c r="D1420" s="19" t="n"/>
      <c r="E1420" s="17" t="n"/>
      <c r="F1420" s="21">
        <f>IF(OR(B1420="",C1420=""),"",IFERROR(INT(ROUND(IFERROR(TIMEVALUE(IF(LEN(C1420)-LEN(SUBSTITUTE(C1420,":",""))=2,"","0:")&amp;C1420)*86400,"")/VALUE(SUBSTITUTE(B1420,"K","")),0)/60)&amp;":"&amp;TEXT(MOD(ROUND(IFERROR(TIMEVALUE(IF(LEN(C1420)-LEN(SUBSTITUTE(C1420,":",""))=2,"","0:")&amp;C1420)*86400,"")/VALUE(SUBSTITUTE(B1420,"K","")),0),60),"00"),""))</f>
        <v/>
      </c>
      <c r="G1420" s="21">
        <f>IF(A1420="","",IF(COUNTIF(Atletas!$A$2:$A$302,A1420)&gt;0,"Sí","No"))</f>
        <v/>
      </c>
    </row>
    <row r="1421">
      <c r="A1421" s="17" t="n"/>
      <c r="B1421" s="17" t="n"/>
      <c r="C1421" s="18" t="n"/>
      <c r="D1421" s="19" t="n"/>
      <c r="E1421" s="17" t="n"/>
      <c r="F1421" s="21">
        <f>IF(OR(B1421="",C1421=""),"",IFERROR(INT(ROUND(IFERROR(TIMEVALUE(IF(LEN(C1421)-LEN(SUBSTITUTE(C1421,":",""))=2,"","0:")&amp;C1421)*86400,"")/VALUE(SUBSTITUTE(B1421,"K","")),0)/60)&amp;":"&amp;TEXT(MOD(ROUND(IFERROR(TIMEVALUE(IF(LEN(C1421)-LEN(SUBSTITUTE(C1421,":",""))=2,"","0:")&amp;C1421)*86400,"")/VALUE(SUBSTITUTE(B1421,"K","")),0),60),"00"),""))</f>
        <v/>
      </c>
      <c r="G1421" s="21">
        <f>IF(A1421="","",IF(COUNTIF(Atletas!$A$2:$A$302,A1421)&gt;0,"Sí","No"))</f>
        <v/>
      </c>
    </row>
    <row r="1422">
      <c r="A1422" s="17" t="n"/>
      <c r="B1422" s="17" t="n"/>
      <c r="C1422" s="18" t="n"/>
      <c r="D1422" s="19" t="n"/>
      <c r="E1422" s="17" t="n"/>
      <c r="F1422" s="21">
        <f>IF(OR(B1422="",C1422=""),"",IFERROR(INT(ROUND(IFERROR(TIMEVALUE(IF(LEN(C1422)-LEN(SUBSTITUTE(C1422,":",""))=2,"","0:")&amp;C1422)*86400,"")/VALUE(SUBSTITUTE(B1422,"K","")),0)/60)&amp;":"&amp;TEXT(MOD(ROUND(IFERROR(TIMEVALUE(IF(LEN(C1422)-LEN(SUBSTITUTE(C1422,":",""))=2,"","0:")&amp;C1422)*86400,"")/VALUE(SUBSTITUTE(B1422,"K","")),0),60),"00"),""))</f>
        <v/>
      </c>
      <c r="G1422" s="21">
        <f>IF(A1422="","",IF(COUNTIF(Atletas!$A$2:$A$302,A1422)&gt;0,"Sí","No"))</f>
        <v/>
      </c>
    </row>
    <row r="1423">
      <c r="A1423" s="17" t="n"/>
      <c r="B1423" s="17" t="n"/>
      <c r="C1423" s="18" t="n"/>
      <c r="D1423" s="19" t="n"/>
      <c r="E1423" s="17" t="n"/>
      <c r="F1423" s="21">
        <f>IF(OR(B1423="",C1423=""),"",IFERROR(INT(ROUND(IFERROR(TIMEVALUE(IF(LEN(C1423)-LEN(SUBSTITUTE(C1423,":",""))=2,"","0:")&amp;C1423)*86400,"")/VALUE(SUBSTITUTE(B1423,"K","")),0)/60)&amp;":"&amp;TEXT(MOD(ROUND(IFERROR(TIMEVALUE(IF(LEN(C1423)-LEN(SUBSTITUTE(C1423,":",""))=2,"","0:")&amp;C1423)*86400,"")/VALUE(SUBSTITUTE(B1423,"K","")),0),60),"00"),""))</f>
        <v/>
      </c>
      <c r="G1423" s="21">
        <f>IF(A1423="","",IF(COUNTIF(Atletas!$A$2:$A$302,A1423)&gt;0,"Sí","No"))</f>
        <v/>
      </c>
    </row>
    <row r="1424">
      <c r="A1424" s="17" t="n"/>
      <c r="B1424" s="17" t="n"/>
      <c r="C1424" s="18" t="n"/>
      <c r="D1424" s="19" t="n"/>
      <c r="E1424" s="17" t="n"/>
      <c r="F1424" s="21">
        <f>IF(OR(B1424="",C1424=""),"",IFERROR(INT(ROUND(IFERROR(TIMEVALUE(IF(LEN(C1424)-LEN(SUBSTITUTE(C1424,":",""))=2,"","0:")&amp;C1424)*86400,"")/VALUE(SUBSTITUTE(B1424,"K","")),0)/60)&amp;":"&amp;TEXT(MOD(ROUND(IFERROR(TIMEVALUE(IF(LEN(C1424)-LEN(SUBSTITUTE(C1424,":",""))=2,"","0:")&amp;C1424)*86400,"")/VALUE(SUBSTITUTE(B1424,"K","")),0),60),"00"),""))</f>
        <v/>
      </c>
      <c r="G1424" s="21">
        <f>IF(A1424="","",IF(COUNTIF(Atletas!$A$2:$A$302,A1424)&gt;0,"Sí","No"))</f>
        <v/>
      </c>
    </row>
    <row r="1425">
      <c r="A1425" s="17" t="n"/>
      <c r="B1425" s="17" t="n"/>
      <c r="C1425" s="18" t="n"/>
      <c r="D1425" s="19" t="n"/>
      <c r="E1425" s="17" t="n"/>
      <c r="F1425" s="21">
        <f>IF(OR(B1425="",C1425=""),"",IFERROR(INT(ROUND(IFERROR(TIMEVALUE(IF(LEN(C1425)-LEN(SUBSTITUTE(C1425,":",""))=2,"","0:")&amp;C1425)*86400,"")/VALUE(SUBSTITUTE(B1425,"K","")),0)/60)&amp;":"&amp;TEXT(MOD(ROUND(IFERROR(TIMEVALUE(IF(LEN(C1425)-LEN(SUBSTITUTE(C1425,":",""))=2,"","0:")&amp;C1425)*86400,"")/VALUE(SUBSTITUTE(B1425,"K","")),0),60),"00"),""))</f>
        <v/>
      </c>
      <c r="G1425" s="21">
        <f>IF(A1425="","",IF(COUNTIF(Atletas!$A$2:$A$302,A1425)&gt;0,"Sí","No"))</f>
        <v/>
      </c>
    </row>
    <row r="1426">
      <c r="A1426" s="17" t="n"/>
      <c r="B1426" s="17" t="n"/>
      <c r="C1426" s="18" t="n"/>
      <c r="D1426" s="19" t="n"/>
      <c r="E1426" s="17" t="n"/>
      <c r="F1426" s="21">
        <f>IF(OR(B1426="",C1426=""),"",IFERROR(INT(ROUND(IFERROR(TIMEVALUE(IF(LEN(C1426)-LEN(SUBSTITUTE(C1426,":",""))=2,"","0:")&amp;C1426)*86400,"")/VALUE(SUBSTITUTE(B1426,"K","")),0)/60)&amp;":"&amp;TEXT(MOD(ROUND(IFERROR(TIMEVALUE(IF(LEN(C1426)-LEN(SUBSTITUTE(C1426,":",""))=2,"","0:")&amp;C1426)*86400,"")/VALUE(SUBSTITUTE(B1426,"K","")),0),60),"00"),""))</f>
        <v/>
      </c>
      <c r="G1426" s="21">
        <f>IF(A1426="","",IF(COUNTIF(Atletas!$A$2:$A$302,A1426)&gt;0,"Sí","No"))</f>
        <v/>
      </c>
    </row>
    <row r="1427">
      <c r="A1427" s="17" t="n"/>
      <c r="B1427" s="17" t="n"/>
      <c r="C1427" s="18" t="n"/>
      <c r="D1427" s="19" t="n"/>
      <c r="E1427" s="17" t="n"/>
      <c r="F1427" s="21">
        <f>IF(OR(B1427="",C1427=""),"",IFERROR(INT(ROUND(IFERROR(TIMEVALUE(IF(LEN(C1427)-LEN(SUBSTITUTE(C1427,":",""))=2,"","0:")&amp;C1427)*86400,"")/VALUE(SUBSTITUTE(B1427,"K","")),0)/60)&amp;":"&amp;TEXT(MOD(ROUND(IFERROR(TIMEVALUE(IF(LEN(C1427)-LEN(SUBSTITUTE(C1427,":",""))=2,"","0:")&amp;C1427)*86400,"")/VALUE(SUBSTITUTE(B1427,"K","")),0),60),"00"),""))</f>
        <v/>
      </c>
      <c r="G1427" s="21">
        <f>IF(A1427="","",IF(COUNTIF(Atletas!$A$2:$A$302,A1427)&gt;0,"Sí","No"))</f>
        <v/>
      </c>
    </row>
    <row r="1428">
      <c r="A1428" s="17" t="n"/>
      <c r="B1428" s="17" t="n"/>
      <c r="C1428" s="18" t="n"/>
      <c r="D1428" s="19" t="n"/>
      <c r="E1428" s="17" t="n"/>
      <c r="F1428" s="21">
        <f>IF(OR(B1428="",C1428=""),"",IFERROR(INT(ROUND(IFERROR(TIMEVALUE(IF(LEN(C1428)-LEN(SUBSTITUTE(C1428,":",""))=2,"","0:")&amp;C1428)*86400,"")/VALUE(SUBSTITUTE(B1428,"K","")),0)/60)&amp;":"&amp;TEXT(MOD(ROUND(IFERROR(TIMEVALUE(IF(LEN(C1428)-LEN(SUBSTITUTE(C1428,":",""))=2,"","0:")&amp;C1428)*86400,"")/VALUE(SUBSTITUTE(B1428,"K","")),0),60),"00"),""))</f>
        <v/>
      </c>
      <c r="G1428" s="21">
        <f>IF(A1428="","",IF(COUNTIF(Atletas!$A$2:$A$302,A1428)&gt;0,"Sí","No"))</f>
        <v/>
      </c>
    </row>
    <row r="1429">
      <c r="A1429" s="17" t="n"/>
      <c r="B1429" s="17" t="n"/>
      <c r="C1429" s="18" t="n"/>
      <c r="D1429" s="19" t="n"/>
      <c r="E1429" s="17" t="n"/>
      <c r="F1429" s="21">
        <f>IF(OR(B1429="",C1429=""),"",IFERROR(INT(ROUND(IFERROR(TIMEVALUE(IF(LEN(C1429)-LEN(SUBSTITUTE(C1429,":",""))=2,"","0:")&amp;C1429)*86400,"")/VALUE(SUBSTITUTE(B1429,"K","")),0)/60)&amp;":"&amp;TEXT(MOD(ROUND(IFERROR(TIMEVALUE(IF(LEN(C1429)-LEN(SUBSTITUTE(C1429,":",""))=2,"","0:")&amp;C1429)*86400,"")/VALUE(SUBSTITUTE(B1429,"K","")),0),60),"00"),""))</f>
        <v/>
      </c>
      <c r="G1429" s="21">
        <f>IF(A1429="","",IF(COUNTIF(Atletas!$A$2:$A$302,A1429)&gt;0,"Sí","No"))</f>
        <v/>
      </c>
    </row>
    <row r="1430">
      <c r="A1430" s="17" t="n"/>
      <c r="B1430" s="17" t="n"/>
      <c r="C1430" s="18" t="n"/>
      <c r="D1430" s="19" t="n"/>
      <c r="E1430" s="17" t="n"/>
      <c r="F1430" s="21">
        <f>IF(OR(B1430="",C1430=""),"",IFERROR(INT(ROUND(IFERROR(TIMEVALUE(IF(LEN(C1430)-LEN(SUBSTITUTE(C1430,":",""))=2,"","0:")&amp;C1430)*86400,"")/VALUE(SUBSTITUTE(B1430,"K","")),0)/60)&amp;":"&amp;TEXT(MOD(ROUND(IFERROR(TIMEVALUE(IF(LEN(C1430)-LEN(SUBSTITUTE(C1430,":",""))=2,"","0:")&amp;C1430)*86400,"")/VALUE(SUBSTITUTE(B1430,"K","")),0),60),"00"),""))</f>
        <v/>
      </c>
      <c r="G1430" s="21">
        <f>IF(A1430="","",IF(COUNTIF(Atletas!$A$2:$A$302,A1430)&gt;0,"Sí","No"))</f>
        <v/>
      </c>
    </row>
    <row r="1431">
      <c r="A1431" s="17" t="n"/>
      <c r="B1431" s="17" t="n"/>
      <c r="C1431" s="18" t="n"/>
      <c r="D1431" s="19" t="n"/>
      <c r="E1431" s="17" t="n"/>
      <c r="F1431" s="21">
        <f>IF(OR(B1431="",C1431=""),"",IFERROR(INT(ROUND(IFERROR(TIMEVALUE(IF(LEN(C1431)-LEN(SUBSTITUTE(C1431,":",""))=2,"","0:")&amp;C1431)*86400,"")/VALUE(SUBSTITUTE(B1431,"K","")),0)/60)&amp;":"&amp;TEXT(MOD(ROUND(IFERROR(TIMEVALUE(IF(LEN(C1431)-LEN(SUBSTITUTE(C1431,":",""))=2,"","0:")&amp;C1431)*86400,"")/VALUE(SUBSTITUTE(B1431,"K","")),0),60),"00"),""))</f>
        <v/>
      </c>
      <c r="G1431" s="21">
        <f>IF(A1431="","",IF(COUNTIF(Atletas!$A$2:$A$302,A1431)&gt;0,"Sí","No"))</f>
        <v/>
      </c>
    </row>
    <row r="1432">
      <c r="A1432" s="17" t="n"/>
      <c r="B1432" s="17" t="n"/>
      <c r="C1432" s="18" t="n"/>
      <c r="D1432" s="19" t="n"/>
      <c r="E1432" s="17" t="n"/>
      <c r="F1432" s="21">
        <f>IF(OR(B1432="",C1432=""),"",IFERROR(INT(ROUND(IFERROR(TIMEVALUE(IF(LEN(C1432)-LEN(SUBSTITUTE(C1432,":",""))=2,"","0:")&amp;C1432)*86400,"")/VALUE(SUBSTITUTE(B1432,"K","")),0)/60)&amp;":"&amp;TEXT(MOD(ROUND(IFERROR(TIMEVALUE(IF(LEN(C1432)-LEN(SUBSTITUTE(C1432,":",""))=2,"","0:")&amp;C1432)*86400,"")/VALUE(SUBSTITUTE(B1432,"K","")),0),60),"00"),""))</f>
        <v/>
      </c>
      <c r="G1432" s="21">
        <f>IF(A1432="","",IF(COUNTIF(Atletas!$A$2:$A$302,A1432)&gt;0,"Sí","No"))</f>
        <v/>
      </c>
    </row>
    <row r="1433">
      <c r="A1433" s="17" t="n"/>
      <c r="B1433" s="17" t="n"/>
      <c r="C1433" s="18" t="n"/>
      <c r="D1433" s="19" t="n"/>
      <c r="E1433" s="17" t="n"/>
      <c r="F1433" s="21">
        <f>IF(OR(B1433="",C1433=""),"",IFERROR(INT(ROUND(IFERROR(TIMEVALUE(IF(LEN(C1433)-LEN(SUBSTITUTE(C1433,":",""))=2,"","0:")&amp;C1433)*86400,"")/VALUE(SUBSTITUTE(B1433,"K","")),0)/60)&amp;":"&amp;TEXT(MOD(ROUND(IFERROR(TIMEVALUE(IF(LEN(C1433)-LEN(SUBSTITUTE(C1433,":",""))=2,"","0:")&amp;C1433)*86400,"")/VALUE(SUBSTITUTE(B1433,"K","")),0),60),"00"),""))</f>
        <v/>
      </c>
      <c r="G1433" s="21">
        <f>IF(A1433="","",IF(COUNTIF(Atletas!$A$2:$A$302,A1433)&gt;0,"Sí","No"))</f>
        <v/>
      </c>
    </row>
    <row r="1434">
      <c r="A1434" s="17" t="n"/>
      <c r="B1434" s="17" t="n"/>
      <c r="C1434" s="18" t="n"/>
      <c r="D1434" s="19" t="n"/>
      <c r="E1434" s="17" t="n"/>
      <c r="F1434" s="21">
        <f>IF(OR(B1434="",C1434=""),"",IFERROR(INT(ROUND(IFERROR(TIMEVALUE(IF(LEN(C1434)-LEN(SUBSTITUTE(C1434,":",""))=2,"","0:")&amp;C1434)*86400,"")/VALUE(SUBSTITUTE(B1434,"K","")),0)/60)&amp;":"&amp;TEXT(MOD(ROUND(IFERROR(TIMEVALUE(IF(LEN(C1434)-LEN(SUBSTITUTE(C1434,":",""))=2,"","0:")&amp;C1434)*86400,"")/VALUE(SUBSTITUTE(B1434,"K","")),0),60),"00"),""))</f>
        <v/>
      </c>
      <c r="G1434" s="21">
        <f>IF(A1434="","",IF(COUNTIF(Atletas!$A$2:$A$302,A1434)&gt;0,"Sí","No"))</f>
        <v/>
      </c>
    </row>
    <row r="1435">
      <c r="A1435" s="17" t="n"/>
      <c r="B1435" s="17" t="n"/>
      <c r="C1435" s="18" t="n"/>
      <c r="D1435" s="19" t="n"/>
      <c r="E1435" s="17" t="n"/>
      <c r="F1435" s="21">
        <f>IF(OR(B1435="",C1435=""),"",IFERROR(INT(ROUND(IFERROR(TIMEVALUE(IF(LEN(C1435)-LEN(SUBSTITUTE(C1435,":",""))=2,"","0:")&amp;C1435)*86400,"")/VALUE(SUBSTITUTE(B1435,"K","")),0)/60)&amp;":"&amp;TEXT(MOD(ROUND(IFERROR(TIMEVALUE(IF(LEN(C1435)-LEN(SUBSTITUTE(C1435,":",""))=2,"","0:")&amp;C1435)*86400,"")/VALUE(SUBSTITUTE(B1435,"K","")),0),60),"00"),""))</f>
        <v/>
      </c>
      <c r="G1435" s="21">
        <f>IF(A1435="","",IF(COUNTIF(Atletas!$A$2:$A$302,A1435)&gt;0,"Sí","No"))</f>
        <v/>
      </c>
    </row>
    <row r="1436">
      <c r="A1436" s="17" t="n"/>
      <c r="B1436" s="17" t="n"/>
      <c r="C1436" s="18" t="n"/>
      <c r="D1436" s="19" t="n"/>
      <c r="E1436" s="17" t="n"/>
      <c r="F1436" s="21">
        <f>IF(OR(B1436="",C1436=""),"",IFERROR(INT(ROUND(IFERROR(TIMEVALUE(IF(LEN(C1436)-LEN(SUBSTITUTE(C1436,":",""))=2,"","0:")&amp;C1436)*86400,"")/VALUE(SUBSTITUTE(B1436,"K","")),0)/60)&amp;":"&amp;TEXT(MOD(ROUND(IFERROR(TIMEVALUE(IF(LEN(C1436)-LEN(SUBSTITUTE(C1436,":",""))=2,"","0:")&amp;C1436)*86400,"")/VALUE(SUBSTITUTE(B1436,"K","")),0),60),"00"),""))</f>
        <v/>
      </c>
      <c r="G1436" s="21">
        <f>IF(A1436="","",IF(COUNTIF(Atletas!$A$2:$A$302,A1436)&gt;0,"Sí","No"))</f>
        <v/>
      </c>
    </row>
    <row r="1437">
      <c r="A1437" s="17" t="n"/>
      <c r="B1437" s="17" t="n"/>
      <c r="C1437" s="18" t="n"/>
      <c r="D1437" s="19" t="n"/>
      <c r="E1437" s="17" t="n"/>
      <c r="F1437" s="21">
        <f>IF(OR(B1437="",C1437=""),"",IFERROR(INT(ROUND(IFERROR(TIMEVALUE(IF(LEN(C1437)-LEN(SUBSTITUTE(C1437,":",""))=2,"","0:")&amp;C1437)*86400,"")/VALUE(SUBSTITUTE(B1437,"K","")),0)/60)&amp;":"&amp;TEXT(MOD(ROUND(IFERROR(TIMEVALUE(IF(LEN(C1437)-LEN(SUBSTITUTE(C1437,":",""))=2,"","0:")&amp;C1437)*86400,"")/VALUE(SUBSTITUTE(B1437,"K","")),0),60),"00"),""))</f>
        <v/>
      </c>
      <c r="G1437" s="21">
        <f>IF(A1437="","",IF(COUNTIF(Atletas!$A$2:$A$302,A1437)&gt;0,"Sí","No"))</f>
        <v/>
      </c>
    </row>
    <row r="1438">
      <c r="A1438" s="17" t="n"/>
      <c r="B1438" s="17" t="n"/>
      <c r="C1438" s="18" t="n"/>
      <c r="D1438" s="19" t="n"/>
      <c r="E1438" s="17" t="n"/>
      <c r="F1438" s="21">
        <f>IF(OR(B1438="",C1438=""),"",IFERROR(INT(ROUND(IFERROR(TIMEVALUE(IF(LEN(C1438)-LEN(SUBSTITUTE(C1438,":",""))=2,"","0:")&amp;C1438)*86400,"")/VALUE(SUBSTITUTE(B1438,"K","")),0)/60)&amp;":"&amp;TEXT(MOD(ROUND(IFERROR(TIMEVALUE(IF(LEN(C1438)-LEN(SUBSTITUTE(C1438,":",""))=2,"","0:")&amp;C1438)*86400,"")/VALUE(SUBSTITUTE(B1438,"K","")),0),60),"00"),""))</f>
        <v/>
      </c>
      <c r="G1438" s="21">
        <f>IF(A1438="","",IF(COUNTIF(Atletas!$A$2:$A$302,A1438)&gt;0,"Sí","No"))</f>
        <v/>
      </c>
    </row>
    <row r="1439">
      <c r="A1439" s="17" t="n"/>
      <c r="B1439" s="17" t="n"/>
      <c r="C1439" s="18" t="n"/>
      <c r="D1439" s="19" t="n"/>
      <c r="E1439" s="17" t="n"/>
      <c r="F1439" s="21">
        <f>IF(OR(B1439="",C1439=""),"",IFERROR(INT(ROUND(IFERROR(TIMEVALUE(IF(LEN(C1439)-LEN(SUBSTITUTE(C1439,":",""))=2,"","0:")&amp;C1439)*86400,"")/VALUE(SUBSTITUTE(B1439,"K","")),0)/60)&amp;":"&amp;TEXT(MOD(ROUND(IFERROR(TIMEVALUE(IF(LEN(C1439)-LEN(SUBSTITUTE(C1439,":",""))=2,"","0:")&amp;C1439)*86400,"")/VALUE(SUBSTITUTE(B1439,"K","")),0),60),"00"),""))</f>
        <v/>
      </c>
      <c r="G1439" s="21">
        <f>IF(A1439="","",IF(COUNTIF(Atletas!$A$2:$A$302,A1439)&gt;0,"Sí","No"))</f>
        <v/>
      </c>
    </row>
    <row r="1440">
      <c r="A1440" s="17" t="n"/>
      <c r="B1440" s="17" t="n"/>
      <c r="C1440" s="18" t="n"/>
      <c r="D1440" s="19" t="n"/>
      <c r="E1440" s="17" t="n"/>
      <c r="F1440" s="21">
        <f>IF(OR(B1440="",C1440=""),"",IFERROR(INT(ROUND(IFERROR(TIMEVALUE(IF(LEN(C1440)-LEN(SUBSTITUTE(C1440,":",""))=2,"","0:")&amp;C1440)*86400,"")/VALUE(SUBSTITUTE(B1440,"K","")),0)/60)&amp;":"&amp;TEXT(MOD(ROUND(IFERROR(TIMEVALUE(IF(LEN(C1440)-LEN(SUBSTITUTE(C1440,":",""))=2,"","0:")&amp;C1440)*86400,"")/VALUE(SUBSTITUTE(B1440,"K","")),0),60),"00"),""))</f>
        <v/>
      </c>
      <c r="G1440" s="21">
        <f>IF(A1440="","",IF(COUNTIF(Atletas!$A$2:$A$302,A1440)&gt;0,"Sí","No"))</f>
        <v/>
      </c>
    </row>
    <row r="1441">
      <c r="A1441" s="17" t="n"/>
      <c r="B1441" s="17" t="n"/>
      <c r="C1441" s="18" t="n"/>
      <c r="D1441" s="19" t="n"/>
      <c r="E1441" s="17" t="n"/>
      <c r="F1441" s="21">
        <f>IF(OR(B1441="",C1441=""),"",IFERROR(INT(ROUND(IFERROR(TIMEVALUE(IF(LEN(C1441)-LEN(SUBSTITUTE(C1441,":",""))=2,"","0:")&amp;C1441)*86400,"")/VALUE(SUBSTITUTE(B1441,"K","")),0)/60)&amp;":"&amp;TEXT(MOD(ROUND(IFERROR(TIMEVALUE(IF(LEN(C1441)-LEN(SUBSTITUTE(C1441,":",""))=2,"","0:")&amp;C1441)*86400,"")/VALUE(SUBSTITUTE(B1441,"K","")),0),60),"00"),""))</f>
        <v/>
      </c>
      <c r="G1441" s="21">
        <f>IF(A1441="","",IF(COUNTIF(Atletas!$A$2:$A$302,A1441)&gt;0,"Sí","No"))</f>
        <v/>
      </c>
    </row>
    <row r="1442">
      <c r="A1442" s="17" t="n"/>
      <c r="B1442" s="17" t="n"/>
      <c r="C1442" s="18" t="n"/>
      <c r="D1442" s="19" t="n"/>
      <c r="E1442" s="17" t="n"/>
      <c r="F1442" s="21">
        <f>IF(OR(B1442="",C1442=""),"",IFERROR(INT(ROUND(IFERROR(TIMEVALUE(IF(LEN(C1442)-LEN(SUBSTITUTE(C1442,":",""))=2,"","0:")&amp;C1442)*86400,"")/VALUE(SUBSTITUTE(B1442,"K","")),0)/60)&amp;":"&amp;TEXT(MOD(ROUND(IFERROR(TIMEVALUE(IF(LEN(C1442)-LEN(SUBSTITUTE(C1442,":",""))=2,"","0:")&amp;C1442)*86400,"")/VALUE(SUBSTITUTE(B1442,"K","")),0),60),"00"),""))</f>
        <v/>
      </c>
      <c r="G1442" s="21">
        <f>IF(A1442="","",IF(COUNTIF(Atletas!$A$2:$A$302,A1442)&gt;0,"Sí","No"))</f>
        <v/>
      </c>
    </row>
    <row r="1443">
      <c r="A1443" s="17" t="n"/>
      <c r="B1443" s="17" t="n"/>
      <c r="C1443" s="18" t="n"/>
      <c r="D1443" s="19" t="n"/>
      <c r="E1443" s="17" t="n"/>
      <c r="F1443" s="21">
        <f>IF(OR(B1443="",C1443=""),"",IFERROR(INT(ROUND(IFERROR(TIMEVALUE(IF(LEN(C1443)-LEN(SUBSTITUTE(C1443,":",""))=2,"","0:")&amp;C1443)*86400,"")/VALUE(SUBSTITUTE(B1443,"K","")),0)/60)&amp;":"&amp;TEXT(MOD(ROUND(IFERROR(TIMEVALUE(IF(LEN(C1443)-LEN(SUBSTITUTE(C1443,":",""))=2,"","0:")&amp;C1443)*86400,"")/VALUE(SUBSTITUTE(B1443,"K","")),0),60),"00"),""))</f>
        <v/>
      </c>
      <c r="G1443" s="21">
        <f>IF(A1443="","",IF(COUNTIF(Atletas!$A$2:$A$302,A1443)&gt;0,"Sí","No"))</f>
        <v/>
      </c>
    </row>
    <row r="1444">
      <c r="A1444" s="17" t="n"/>
      <c r="B1444" s="17" t="n"/>
      <c r="C1444" s="18" t="n"/>
      <c r="D1444" s="19" t="n"/>
      <c r="E1444" s="17" t="n"/>
      <c r="F1444" s="21">
        <f>IF(OR(B1444="",C1444=""),"",IFERROR(INT(ROUND(IFERROR(TIMEVALUE(IF(LEN(C1444)-LEN(SUBSTITUTE(C1444,":",""))=2,"","0:")&amp;C1444)*86400,"")/VALUE(SUBSTITUTE(B1444,"K","")),0)/60)&amp;":"&amp;TEXT(MOD(ROUND(IFERROR(TIMEVALUE(IF(LEN(C1444)-LEN(SUBSTITUTE(C1444,":",""))=2,"","0:")&amp;C1444)*86400,"")/VALUE(SUBSTITUTE(B1444,"K","")),0),60),"00"),""))</f>
        <v/>
      </c>
      <c r="G1444" s="21">
        <f>IF(A1444="","",IF(COUNTIF(Atletas!$A$2:$A$302,A1444)&gt;0,"Sí","No"))</f>
        <v/>
      </c>
    </row>
    <row r="1445">
      <c r="A1445" s="17" t="n"/>
      <c r="B1445" s="17" t="n"/>
      <c r="C1445" s="18" t="n"/>
      <c r="D1445" s="19" t="n"/>
      <c r="E1445" s="17" t="n"/>
      <c r="F1445" s="21">
        <f>IF(OR(B1445="",C1445=""),"",IFERROR(INT(ROUND(IFERROR(TIMEVALUE(IF(LEN(C1445)-LEN(SUBSTITUTE(C1445,":",""))=2,"","0:")&amp;C1445)*86400,"")/VALUE(SUBSTITUTE(B1445,"K","")),0)/60)&amp;":"&amp;TEXT(MOD(ROUND(IFERROR(TIMEVALUE(IF(LEN(C1445)-LEN(SUBSTITUTE(C1445,":",""))=2,"","0:")&amp;C1445)*86400,"")/VALUE(SUBSTITUTE(B1445,"K","")),0),60),"00"),""))</f>
        <v/>
      </c>
      <c r="G1445" s="21">
        <f>IF(A1445="","",IF(COUNTIF(Atletas!$A$2:$A$302,A1445)&gt;0,"Sí","No"))</f>
        <v/>
      </c>
    </row>
    <row r="1446">
      <c r="A1446" s="17" t="n"/>
      <c r="B1446" s="17" t="n"/>
      <c r="C1446" s="18" t="n"/>
      <c r="D1446" s="19" t="n"/>
      <c r="E1446" s="17" t="n"/>
      <c r="F1446" s="21">
        <f>IF(OR(B1446="",C1446=""),"",IFERROR(INT(ROUND(IFERROR(TIMEVALUE(IF(LEN(C1446)-LEN(SUBSTITUTE(C1446,":",""))=2,"","0:")&amp;C1446)*86400,"")/VALUE(SUBSTITUTE(B1446,"K","")),0)/60)&amp;":"&amp;TEXT(MOD(ROUND(IFERROR(TIMEVALUE(IF(LEN(C1446)-LEN(SUBSTITUTE(C1446,":",""))=2,"","0:")&amp;C1446)*86400,"")/VALUE(SUBSTITUTE(B1446,"K","")),0),60),"00"),""))</f>
        <v/>
      </c>
      <c r="G1446" s="21">
        <f>IF(A1446="","",IF(COUNTIF(Atletas!$A$2:$A$302,A1446)&gt;0,"Sí","No"))</f>
        <v/>
      </c>
    </row>
    <row r="1447">
      <c r="A1447" s="17" t="n"/>
      <c r="B1447" s="17" t="n"/>
      <c r="C1447" s="18" t="n"/>
      <c r="D1447" s="19" t="n"/>
      <c r="E1447" s="17" t="n"/>
      <c r="F1447" s="21">
        <f>IF(OR(B1447="",C1447=""),"",IFERROR(INT(ROUND(IFERROR(TIMEVALUE(IF(LEN(C1447)-LEN(SUBSTITUTE(C1447,":",""))=2,"","0:")&amp;C1447)*86400,"")/VALUE(SUBSTITUTE(B1447,"K","")),0)/60)&amp;":"&amp;TEXT(MOD(ROUND(IFERROR(TIMEVALUE(IF(LEN(C1447)-LEN(SUBSTITUTE(C1447,":",""))=2,"","0:")&amp;C1447)*86400,"")/VALUE(SUBSTITUTE(B1447,"K","")),0),60),"00"),""))</f>
        <v/>
      </c>
      <c r="G1447" s="21">
        <f>IF(A1447="","",IF(COUNTIF(Atletas!$A$2:$A$302,A1447)&gt;0,"Sí","No"))</f>
        <v/>
      </c>
    </row>
    <row r="1448">
      <c r="A1448" s="17" t="n"/>
      <c r="B1448" s="17" t="n"/>
      <c r="C1448" s="18" t="n"/>
      <c r="D1448" s="19" t="n"/>
      <c r="E1448" s="17" t="n"/>
      <c r="F1448" s="21">
        <f>IF(OR(B1448="",C1448=""),"",IFERROR(INT(ROUND(IFERROR(TIMEVALUE(IF(LEN(C1448)-LEN(SUBSTITUTE(C1448,":",""))=2,"","0:")&amp;C1448)*86400,"")/VALUE(SUBSTITUTE(B1448,"K","")),0)/60)&amp;":"&amp;TEXT(MOD(ROUND(IFERROR(TIMEVALUE(IF(LEN(C1448)-LEN(SUBSTITUTE(C1448,":",""))=2,"","0:")&amp;C1448)*86400,"")/VALUE(SUBSTITUTE(B1448,"K","")),0),60),"00"),""))</f>
        <v/>
      </c>
      <c r="G1448" s="21">
        <f>IF(A1448="","",IF(COUNTIF(Atletas!$A$2:$A$302,A1448)&gt;0,"Sí","No"))</f>
        <v/>
      </c>
    </row>
    <row r="1449">
      <c r="A1449" s="17" t="n"/>
      <c r="B1449" s="17" t="n"/>
      <c r="C1449" s="18" t="n"/>
      <c r="D1449" s="19" t="n"/>
      <c r="E1449" s="17" t="n"/>
      <c r="F1449" s="21">
        <f>IF(OR(B1449="",C1449=""),"",IFERROR(INT(ROUND(IFERROR(TIMEVALUE(IF(LEN(C1449)-LEN(SUBSTITUTE(C1449,":",""))=2,"","0:")&amp;C1449)*86400,"")/VALUE(SUBSTITUTE(B1449,"K","")),0)/60)&amp;":"&amp;TEXT(MOD(ROUND(IFERROR(TIMEVALUE(IF(LEN(C1449)-LEN(SUBSTITUTE(C1449,":",""))=2,"","0:")&amp;C1449)*86400,"")/VALUE(SUBSTITUTE(B1449,"K","")),0),60),"00"),""))</f>
        <v/>
      </c>
      <c r="G1449" s="21">
        <f>IF(A1449="","",IF(COUNTIF(Atletas!$A$2:$A$302,A1449)&gt;0,"Sí","No"))</f>
        <v/>
      </c>
    </row>
    <row r="1450">
      <c r="A1450" s="17" t="n"/>
      <c r="B1450" s="17" t="n"/>
      <c r="C1450" s="18" t="n"/>
      <c r="D1450" s="19" t="n"/>
      <c r="E1450" s="17" t="n"/>
      <c r="F1450" s="21">
        <f>IF(OR(B1450="",C1450=""),"",IFERROR(INT(ROUND(IFERROR(TIMEVALUE(IF(LEN(C1450)-LEN(SUBSTITUTE(C1450,":",""))=2,"","0:")&amp;C1450)*86400,"")/VALUE(SUBSTITUTE(B1450,"K","")),0)/60)&amp;":"&amp;TEXT(MOD(ROUND(IFERROR(TIMEVALUE(IF(LEN(C1450)-LEN(SUBSTITUTE(C1450,":",""))=2,"","0:")&amp;C1450)*86400,"")/VALUE(SUBSTITUTE(B1450,"K","")),0),60),"00"),""))</f>
        <v/>
      </c>
      <c r="G1450" s="21">
        <f>IF(A1450="","",IF(COUNTIF(Atletas!$A$2:$A$302,A1450)&gt;0,"Sí","No"))</f>
        <v/>
      </c>
    </row>
    <row r="1451">
      <c r="A1451" s="17" t="n"/>
      <c r="B1451" s="17" t="n"/>
      <c r="C1451" s="18" t="n"/>
      <c r="D1451" s="19" t="n"/>
      <c r="E1451" s="17" t="n"/>
      <c r="F1451" s="21">
        <f>IF(OR(B1451="",C1451=""),"",IFERROR(INT(ROUND(IFERROR(TIMEVALUE(IF(LEN(C1451)-LEN(SUBSTITUTE(C1451,":",""))=2,"","0:")&amp;C1451)*86400,"")/VALUE(SUBSTITUTE(B1451,"K","")),0)/60)&amp;":"&amp;TEXT(MOD(ROUND(IFERROR(TIMEVALUE(IF(LEN(C1451)-LEN(SUBSTITUTE(C1451,":",""))=2,"","0:")&amp;C1451)*86400,"")/VALUE(SUBSTITUTE(B1451,"K","")),0),60),"00"),""))</f>
        <v/>
      </c>
      <c r="G1451" s="21">
        <f>IF(A1451="","",IF(COUNTIF(Atletas!$A$2:$A$302,A1451)&gt;0,"Sí","No"))</f>
        <v/>
      </c>
    </row>
    <row r="1452">
      <c r="A1452" s="17" t="n"/>
      <c r="B1452" s="17" t="n"/>
      <c r="C1452" s="18" t="n"/>
      <c r="D1452" s="19" t="n"/>
      <c r="E1452" s="17" t="n"/>
      <c r="F1452" s="21">
        <f>IF(OR(B1452="",C1452=""),"",IFERROR(INT(ROUND(IFERROR(TIMEVALUE(IF(LEN(C1452)-LEN(SUBSTITUTE(C1452,":",""))=2,"","0:")&amp;C1452)*86400,"")/VALUE(SUBSTITUTE(B1452,"K","")),0)/60)&amp;":"&amp;TEXT(MOD(ROUND(IFERROR(TIMEVALUE(IF(LEN(C1452)-LEN(SUBSTITUTE(C1452,":",""))=2,"","0:")&amp;C1452)*86400,"")/VALUE(SUBSTITUTE(B1452,"K","")),0),60),"00"),""))</f>
        <v/>
      </c>
      <c r="G1452" s="21">
        <f>IF(A1452="","",IF(COUNTIF(Atletas!$A$2:$A$302,A1452)&gt;0,"Sí","No"))</f>
        <v/>
      </c>
    </row>
    <row r="1453">
      <c r="A1453" s="17" t="n"/>
      <c r="B1453" s="17" t="n"/>
      <c r="C1453" s="18" t="n"/>
      <c r="D1453" s="19" t="n"/>
      <c r="E1453" s="17" t="n"/>
      <c r="F1453" s="21">
        <f>IF(OR(B1453="",C1453=""),"",IFERROR(INT(ROUND(IFERROR(TIMEVALUE(IF(LEN(C1453)-LEN(SUBSTITUTE(C1453,":",""))=2,"","0:")&amp;C1453)*86400,"")/VALUE(SUBSTITUTE(B1453,"K","")),0)/60)&amp;":"&amp;TEXT(MOD(ROUND(IFERROR(TIMEVALUE(IF(LEN(C1453)-LEN(SUBSTITUTE(C1453,":",""))=2,"","0:")&amp;C1453)*86400,"")/VALUE(SUBSTITUTE(B1453,"K","")),0),60),"00"),""))</f>
        <v/>
      </c>
      <c r="G1453" s="21">
        <f>IF(A1453="","",IF(COUNTIF(Atletas!$A$2:$A$302,A1453)&gt;0,"Sí","No"))</f>
        <v/>
      </c>
    </row>
    <row r="1454">
      <c r="A1454" s="17" t="n"/>
      <c r="B1454" s="17" t="n"/>
      <c r="C1454" s="18" t="n"/>
      <c r="D1454" s="19" t="n"/>
      <c r="E1454" s="17" t="n"/>
      <c r="F1454" s="21">
        <f>IF(OR(B1454="",C1454=""),"",IFERROR(INT(ROUND(IFERROR(TIMEVALUE(IF(LEN(C1454)-LEN(SUBSTITUTE(C1454,":",""))=2,"","0:")&amp;C1454)*86400,"")/VALUE(SUBSTITUTE(B1454,"K","")),0)/60)&amp;":"&amp;TEXT(MOD(ROUND(IFERROR(TIMEVALUE(IF(LEN(C1454)-LEN(SUBSTITUTE(C1454,":",""))=2,"","0:")&amp;C1454)*86400,"")/VALUE(SUBSTITUTE(B1454,"K","")),0),60),"00"),""))</f>
        <v/>
      </c>
      <c r="G1454" s="21">
        <f>IF(A1454="","",IF(COUNTIF(Atletas!$A$2:$A$302,A1454)&gt;0,"Sí","No"))</f>
        <v/>
      </c>
    </row>
    <row r="1455">
      <c r="A1455" s="17" t="n"/>
      <c r="B1455" s="17" t="n"/>
      <c r="C1455" s="18" t="n"/>
      <c r="D1455" s="19" t="n"/>
      <c r="E1455" s="17" t="n"/>
      <c r="F1455" s="21">
        <f>IF(OR(B1455="",C1455=""),"",IFERROR(INT(ROUND(IFERROR(TIMEVALUE(IF(LEN(C1455)-LEN(SUBSTITUTE(C1455,":",""))=2,"","0:")&amp;C1455)*86400,"")/VALUE(SUBSTITUTE(B1455,"K","")),0)/60)&amp;":"&amp;TEXT(MOD(ROUND(IFERROR(TIMEVALUE(IF(LEN(C1455)-LEN(SUBSTITUTE(C1455,":",""))=2,"","0:")&amp;C1455)*86400,"")/VALUE(SUBSTITUTE(B1455,"K","")),0),60),"00"),""))</f>
        <v/>
      </c>
      <c r="G1455" s="21">
        <f>IF(A1455="","",IF(COUNTIF(Atletas!$A$2:$A$302,A1455)&gt;0,"Sí","No"))</f>
        <v/>
      </c>
    </row>
    <row r="1456">
      <c r="A1456" s="17" t="n"/>
      <c r="B1456" s="17" t="n"/>
      <c r="C1456" s="18" t="n"/>
      <c r="D1456" s="19" t="n"/>
      <c r="E1456" s="17" t="n"/>
      <c r="F1456" s="21">
        <f>IF(OR(B1456="",C1456=""),"",IFERROR(INT(ROUND(IFERROR(TIMEVALUE(IF(LEN(C1456)-LEN(SUBSTITUTE(C1456,":",""))=2,"","0:")&amp;C1456)*86400,"")/VALUE(SUBSTITUTE(B1456,"K","")),0)/60)&amp;":"&amp;TEXT(MOD(ROUND(IFERROR(TIMEVALUE(IF(LEN(C1456)-LEN(SUBSTITUTE(C1456,":",""))=2,"","0:")&amp;C1456)*86400,"")/VALUE(SUBSTITUTE(B1456,"K","")),0),60),"00"),""))</f>
        <v/>
      </c>
      <c r="G1456" s="21">
        <f>IF(A1456="","",IF(COUNTIF(Atletas!$A$2:$A$302,A1456)&gt;0,"Sí","No"))</f>
        <v/>
      </c>
    </row>
    <row r="1457">
      <c r="A1457" s="17" t="n"/>
      <c r="B1457" s="17" t="n"/>
      <c r="C1457" s="18" t="n"/>
      <c r="D1457" s="19" t="n"/>
      <c r="E1457" s="17" t="n"/>
      <c r="F1457" s="21">
        <f>IF(OR(B1457="",C1457=""),"",IFERROR(INT(ROUND(IFERROR(TIMEVALUE(IF(LEN(C1457)-LEN(SUBSTITUTE(C1457,":",""))=2,"","0:")&amp;C1457)*86400,"")/VALUE(SUBSTITUTE(B1457,"K","")),0)/60)&amp;":"&amp;TEXT(MOD(ROUND(IFERROR(TIMEVALUE(IF(LEN(C1457)-LEN(SUBSTITUTE(C1457,":",""))=2,"","0:")&amp;C1457)*86400,"")/VALUE(SUBSTITUTE(B1457,"K","")),0),60),"00"),""))</f>
        <v/>
      </c>
      <c r="G1457" s="21">
        <f>IF(A1457="","",IF(COUNTIF(Atletas!$A$2:$A$302,A1457)&gt;0,"Sí","No"))</f>
        <v/>
      </c>
    </row>
    <row r="1458">
      <c r="A1458" s="17" t="n"/>
      <c r="B1458" s="17" t="n"/>
      <c r="C1458" s="18" t="n"/>
      <c r="D1458" s="19" t="n"/>
      <c r="E1458" s="17" t="n"/>
      <c r="F1458" s="21">
        <f>IF(OR(B1458="",C1458=""),"",IFERROR(INT(ROUND(IFERROR(TIMEVALUE(IF(LEN(C1458)-LEN(SUBSTITUTE(C1458,":",""))=2,"","0:")&amp;C1458)*86400,"")/VALUE(SUBSTITUTE(B1458,"K","")),0)/60)&amp;":"&amp;TEXT(MOD(ROUND(IFERROR(TIMEVALUE(IF(LEN(C1458)-LEN(SUBSTITUTE(C1458,":",""))=2,"","0:")&amp;C1458)*86400,"")/VALUE(SUBSTITUTE(B1458,"K","")),0),60),"00"),""))</f>
        <v/>
      </c>
      <c r="G1458" s="21">
        <f>IF(A1458="","",IF(COUNTIF(Atletas!$A$2:$A$302,A1458)&gt;0,"Sí","No"))</f>
        <v/>
      </c>
    </row>
    <row r="1459">
      <c r="A1459" s="17" t="n"/>
      <c r="B1459" s="17" t="n"/>
      <c r="C1459" s="18" t="n"/>
      <c r="D1459" s="19" t="n"/>
      <c r="E1459" s="17" t="n"/>
      <c r="F1459" s="21">
        <f>IF(OR(B1459="",C1459=""),"",IFERROR(INT(ROUND(IFERROR(TIMEVALUE(IF(LEN(C1459)-LEN(SUBSTITUTE(C1459,":",""))=2,"","0:")&amp;C1459)*86400,"")/VALUE(SUBSTITUTE(B1459,"K","")),0)/60)&amp;":"&amp;TEXT(MOD(ROUND(IFERROR(TIMEVALUE(IF(LEN(C1459)-LEN(SUBSTITUTE(C1459,":",""))=2,"","0:")&amp;C1459)*86400,"")/VALUE(SUBSTITUTE(B1459,"K","")),0),60),"00"),""))</f>
        <v/>
      </c>
      <c r="G1459" s="21">
        <f>IF(A1459="","",IF(COUNTIF(Atletas!$A$2:$A$302,A1459)&gt;0,"Sí","No"))</f>
        <v/>
      </c>
    </row>
    <row r="1460">
      <c r="A1460" s="17" t="n"/>
      <c r="B1460" s="17" t="n"/>
      <c r="C1460" s="18" t="n"/>
      <c r="D1460" s="19" t="n"/>
      <c r="E1460" s="17" t="n"/>
      <c r="F1460" s="21">
        <f>IF(OR(B1460="",C1460=""),"",IFERROR(INT(ROUND(IFERROR(TIMEVALUE(IF(LEN(C1460)-LEN(SUBSTITUTE(C1460,":",""))=2,"","0:")&amp;C1460)*86400,"")/VALUE(SUBSTITUTE(B1460,"K","")),0)/60)&amp;":"&amp;TEXT(MOD(ROUND(IFERROR(TIMEVALUE(IF(LEN(C1460)-LEN(SUBSTITUTE(C1460,":",""))=2,"","0:")&amp;C1460)*86400,"")/VALUE(SUBSTITUTE(B1460,"K","")),0),60),"00"),""))</f>
        <v/>
      </c>
      <c r="G1460" s="21">
        <f>IF(A1460="","",IF(COUNTIF(Atletas!$A$2:$A$302,A1460)&gt;0,"Sí","No"))</f>
        <v/>
      </c>
    </row>
    <row r="1461">
      <c r="A1461" s="17" t="n"/>
      <c r="B1461" s="17" t="n"/>
      <c r="C1461" s="18" t="n"/>
      <c r="D1461" s="19" t="n"/>
      <c r="E1461" s="17" t="n"/>
      <c r="F1461" s="21">
        <f>IF(OR(B1461="",C1461=""),"",IFERROR(INT(ROUND(IFERROR(TIMEVALUE(IF(LEN(C1461)-LEN(SUBSTITUTE(C1461,":",""))=2,"","0:")&amp;C1461)*86400,"")/VALUE(SUBSTITUTE(B1461,"K","")),0)/60)&amp;":"&amp;TEXT(MOD(ROUND(IFERROR(TIMEVALUE(IF(LEN(C1461)-LEN(SUBSTITUTE(C1461,":",""))=2,"","0:")&amp;C1461)*86400,"")/VALUE(SUBSTITUTE(B1461,"K","")),0),60),"00"),""))</f>
        <v/>
      </c>
      <c r="G1461" s="21">
        <f>IF(A1461="","",IF(COUNTIF(Atletas!$A$2:$A$302,A1461)&gt;0,"Sí","No"))</f>
        <v/>
      </c>
    </row>
    <row r="1462">
      <c r="A1462" s="17" t="n"/>
      <c r="B1462" s="17" t="n"/>
      <c r="C1462" s="18" t="n"/>
      <c r="D1462" s="19" t="n"/>
      <c r="E1462" s="17" t="n"/>
      <c r="F1462" s="21">
        <f>IF(OR(B1462="",C1462=""),"",IFERROR(INT(ROUND(IFERROR(TIMEVALUE(IF(LEN(C1462)-LEN(SUBSTITUTE(C1462,":",""))=2,"","0:")&amp;C1462)*86400,"")/VALUE(SUBSTITUTE(B1462,"K","")),0)/60)&amp;":"&amp;TEXT(MOD(ROUND(IFERROR(TIMEVALUE(IF(LEN(C1462)-LEN(SUBSTITUTE(C1462,":",""))=2,"","0:")&amp;C1462)*86400,"")/VALUE(SUBSTITUTE(B1462,"K","")),0),60),"00"),""))</f>
        <v/>
      </c>
      <c r="G1462" s="21">
        <f>IF(A1462="","",IF(COUNTIF(Atletas!$A$2:$A$302,A1462)&gt;0,"Sí","No"))</f>
        <v/>
      </c>
    </row>
    <row r="1463">
      <c r="A1463" s="17" t="n"/>
      <c r="B1463" s="17" t="n"/>
      <c r="C1463" s="18" t="n"/>
      <c r="D1463" s="19" t="n"/>
      <c r="E1463" s="17" t="n"/>
      <c r="F1463" s="21">
        <f>IF(OR(B1463="",C1463=""),"",IFERROR(INT(ROUND(IFERROR(TIMEVALUE(IF(LEN(C1463)-LEN(SUBSTITUTE(C1463,":",""))=2,"","0:")&amp;C1463)*86400,"")/VALUE(SUBSTITUTE(B1463,"K","")),0)/60)&amp;":"&amp;TEXT(MOD(ROUND(IFERROR(TIMEVALUE(IF(LEN(C1463)-LEN(SUBSTITUTE(C1463,":",""))=2,"","0:")&amp;C1463)*86400,"")/VALUE(SUBSTITUTE(B1463,"K","")),0),60),"00"),""))</f>
        <v/>
      </c>
      <c r="G1463" s="21">
        <f>IF(A1463="","",IF(COUNTIF(Atletas!$A$2:$A$302,A1463)&gt;0,"Sí","No"))</f>
        <v/>
      </c>
    </row>
    <row r="1464">
      <c r="A1464" s="17" t="n"/>
      <c r="B1464" s="17" t="n"/>
      <c r="C1464" s="18" t="n"/>
      <c r="D1464" s="19" t="n"/>
      <c r="E1464" s="17" t="n"/>
      <c r="F1464" s="21">
        <f>IF(OR(B1464="",C1464=""),"",IFERROR(INT(ROUND(IFERROR(TIMEVALUE(IF(LEN(C1464)-LEN(SUBSTITUTE(C1464,":",""))=2,"","0:")&amp;C1464)*86400,"")/VALUE(SUBSTITUTE(B1464,"K","")),0)/60)&amp;":"&amp;TEXT(MOD(ROUND(IFERROR(TIMEVALUE(IF(LEN(C1464)-LEN(SUBSTITUTE(C1464,":",""))=2,"","0:")&amp;C1464)*86400,"")/VALUE(SUBSTITUTE(B1464,"K","")),0),60),"00"),""))</f>
        <v/>
      </c>
      <c r="G1464" s="21">
        <f>IF(A1464="","",IF(COUNTIF(Atletas!$A$2:$A$302,A1464)&gt;0,"Sí","No"))</f>
        <v/>
      </c>
    </row>
    <row r="1465">
      <c r="A1465" s="17" t="n"/>
      <c r="B1465" s="17" t="n"/>
      <c r="C1465" s="18" t="n"/>
      <c r="D1465" s="19" t="n"/>
      <c r="E1465" s="17" t="n"/>
      <c r="F1465" s="21">
        <f>IF(OR(B1465="",C1465=""),"",IFERROR(INT(ROUND(IFERROR(TIMEVALUE(IF(LEN(C1465)-LEN(SUBSTITUTE(C1465,":",""))=2,"","0:")&amp;C1465)*86400,"")/VALUE(SUBSTITUTE(B1465,"K","")),0)/60)&amp;":"&amp;TEXT(MOD(ROUND(IFERROR(TIMEVALUE(IF(LEN(C1465)-LEN(SUBSTITUTE(C1465,":",""))=2,"","0:")&amp;C1465)*86400,"")/VALUE(SUBSTITUTE(B1465,"K","")),0),60),"00"),""))</f>
        <v/>
      </c>
      <c r="G1465" s="21">
        <f>IF(A1465="","",IF(COUNTIF(Atletas!$A$2:$A$302,A1465)&gt;0,"Sí","No"))</f>
        <v/>
      </c>
    </row>
    <row r="1466">
      <c r="A1466" s="17" t="n"/>
      <c r="B1466" s="17" t="n"/>
      <c r="C1466" s="18" t="n"/>
      <c r="D1466" s="19" t="n"/>
      <c r="E1466" s="17" t="n"/>
      <c r="F1466" s="21">
        <f>IF(OR(B1466="",C1466=""),"",IFERROR(INT(ROUND(IFERROR(TIMEVALUE(IF(LEN(C1466)-LEN(SUBSTITUTE(C1466,":",""))=2,"","0:")&amp;C1466)*86400,"")/VALUE(SUBSTITUTE(B1466,"K","")),0)/60)&amp;":"&amp;TEXT(MOD(ROUND(IFERROR(TIMEVALUE(IF(LEN(C1466)-LEN(SUBSTITUTE(C1466,":",""))=2,"","0:")&amp;C1466)*86400,"")/VALUE(SUBSTITUTE(B1466,"K","")),0),60),"00"),""))</f>
        <v/>
      </c>
      <c r="G1466" s="21">
        <f>IF(A1466="","",IF(COUNTIF(Atletas!$A$2:$A$302,A1466)&gt;0,"Sí","No"))</f>
        <v/>
      </c>
    </row>
    <row r="1467">
      <c r="A1467" s="17" t="n"/>
      <c r="B1467" s="17" t="n"/>
      <c r="C1467" s="18" t="n"/>
      <c r="D1467" s="19" t="n"/>
      <c r="E1467" s="17" t="n"/>
      <c r="F1467" s="21">
        <f>IF(OR(B1467="",C1467=""),"",IFERROR(INT(ROUND(IFERROR(TIMEVALUE(IF(LEN(C1467)-LEN(SUBSTITUTE(C1467,":",""))=2,"","0:")&amp;C1467)*86400,"")/VALUE(SUBSTITUTE(B1467,"K","")),0)/60)&amp;":"&amp;TEXT(MOD(ROUND(IFERROR(TIMEVALUE(IF(LEN(C1467)-LEN(SUBSTITUTE(C1467,":",""))=2,"","0:")&amp;C1467)*86400,"")/VALUE(SUBSTITUTE(B1467,"K","")),0),60),"00"),""))</f>
        <v/>
      </c>
      <c r="G1467" s="21">
        <f>IF(A1467="","",IF(COUNTIF(Atletas!$A$2:$A$302,A1467)&gt;0,"Sí","No"))</f>
        <v/>
      </c>
    </row>
    <row r="1468">
      <c r="A1468" s="17" t="n"/>
      <c r="B1468" s="17" t="n"/>
      <c r="C1468" s="18" t="n"/>
      <c r="D1468" s="19" t="n"/>
      <c r="E1468" s="17" t="n"/>
      <c r="F1468" s="21">
        <f>IF(OR(B1468="",C1468=""),"",IFERROR(INT(ROUND(IFERROR(TIMEVALUE(IF(LEN(C1468)-LEN(SUBSTITUTE(C1468,":",""))=2,"","0:")&amp;C1468)*86400,"")/VALUE(SUBSTITUTE(B1468,"K","")),0)/60)&amp;":"&amp;TEXT(MOD(ROUND(IFERROR(TIMEVALUE(IF(LEN(C1468)-LEN(SUBSTITUTE(C1468,":",""))=2,"","0:")&amp;C1468)*86400,"")/VALUE(SUBSTITUTE(B1468,"K","")),0),60),"00"),""))</f>
        <v/>
      </c>
      <c r="G1468" s="21">
        <f>IF(A1468="","",IF(COUNTIF(Atletas!$A$2:$A$302,A1468)&gt;0,"Sí","No"))</f>
        <v/>
      </c>
    </row>
    <row r="1469">
      <c r="A1469" s="17" t="n"/>
      <c r="B1469" s="17" t="n"/>
      <c r="C1469" s="18" t="n"/>
      <c r="D1469" s="19" t="n"/>
      <c r="E1469" s="17" t="n"/>
      <c r="F1469" s="21">
        <f>IF(OR(B1469="",C1469=""),"",IFERROR(INT(ROUND(IFERROR(TIMEVALUE(IF(LEN(C1469)-LEN(SUBSTITUTE(C1469,":",""))=2,"","0:")&amp;C1469)*86400,"")/VALUE(SUBSTITUTE(B1469,"K","")),0)/60)&amp;":"&amp;TEXT(MOD(ROUND(IFERROR(TIMEVALUE(IF(LEN(C1469)-LEN(SUBSTITUTE(C1469,":",""))=2,"","0:")&amp;C1469)*86400,"")/VALUE(SUBSTITUTE(B1469,"K","")),0),60),"00"),""))</f>
        <v/>
      </c>
      <c r="G1469" s="21">
        <f>IF(A1469="","",IF(COUNTIF(Atletas!$A$2:$A$302,A1469)&gt;0,"Sí","No"))</f>
        <v/>
      </c>
    </row>
    <row r="1470">
      <c r="A1470" s="17" t="n"/>
      <c r="B1470" s="17" t="n"/>
      <c r="C1470" s="18" t="n"/>
      <c r="D1470" s="19" t="n"/>
      <c r="E1470" s="17" t="n"/>
      <c r="F1470" s="21">
        <f>IF(OR(B1470="",C1470=""),"",IFERROR(INT(ROUND(IFERROR(TIMEVALUE(IF(LEN(C1470)-LEN(SUBSTITUTE(C1470,":",""))=2,"","0:")&amp;C1470)*86400,"")/VALUE(SUBSTITUTE(B1470,"K","")),0)/60)&amp;":"&amp;TEXT(MOD(ROUND(IFERROR(TIMEVALUE(IF(LEN(C1470)-LEN(SUBSTITUTE(C1470,":",""))=2,"","0:")&amp;C1470)*86400,"")/VALUE(SUBSTITUTE(B1470,"K","")),0),60),"00"),""))</f>
        <v/>
      </c>
      <c r="G1470" s="21">
        <f>IF(A1470="","",IF(COUNTIF(Atletas!$A$2:$A$302,A1470)&gt;0,"Sí","No"))</f>
        <v/>
      </c>
    </row>
    <row r="1471">
      <c r="A1471" s="17" t="n"/>
      <c r="B1471" s="17" t="n"/>
      <c r="C1471" s="18" t="n"/>
      <c r="D1471" s="19" t="n"/>
      <c r="E1471" s="17" t="n"/>
      <c r="F1471" s="21">
        <f>IF(OR(B1471="",C1471=""),"",IFERROR(INT(ROUND(IFERROR(TIMEVALUE(IF(LEN(C1471)-LEN(SUBSTITUTE(C1471,":",""))=2,"","0:")&amp;C1471)*86400,"")/VALUE(SUBSTITUTE(B1471,"K","")),0)/60)&amp;":"&amp;TEXT(MOD(ROUND(IFERROR(TIMEVALUE(IF(LEN(C1471)-LEN(SUBSTITUTE(C1471,":",""))=2,"","0:")&amp;C1471)*86400,"")/VALUE(SUBSTITUTE(B1471,"K","")),0),60),"00"),""))</f>
        <v/>
      </c>
      <c r="G1471" s="21">
        <f>IF(A1471="","",IF(COUNTIF(Atletas!$A$2:$A$302,A1471)&gt;0,"Sí","No"))</f>
        <v/>
      </c>
    </row>
    <row r="1472">
      <c r="A1472" s="17" t="n"/>
      <c r="B1472" s="17" t="n"/>
      <c r="C1472" s="18" t="n"/>
      <c r="D1472" s="19" t="n"/>
      <c r="E1472" s="17" t="n"/>
      <c r="F1472" s="21">
        <f>IF(OR(B1472="",C1472=""),"",IFERROR(INT(ROUND(IFERROR(TIMEVALUE(IF(LEN(C1472)-LEN(SUBSTITUTE(C1472,":",""))=2,"","0:")&amp;C1472)*86400,"")/VALUE(SUBSTITUTE(B1472,"K","")),0)/60)&amp;":"&amp;TEXT(MOD(ROUND(IFERROR(TIMEVALUE(IF(LEN(C1472)-LEN(SUBSTITUTE(C1472,":",""))=2,"","0:")&amp;C1472)*86400,"")/VALUE(SUBSTITUTE(B1472,"K","")),0),60),"00"),""))</f>
        <v/>
      </c>
      <c r="G1472" s="21">
        <f>IF(A1472="","",IF(COUNTIF(Atletas!$A$2:$A$302,A1472)&gt;0,"Sí","No"))</f>
        <v/>
      </c>
    </row>
    <row r="1473">
      <c r="A1473" s="17" t="n"/>
      <c r="B1473" s="17" t="n"/>
      <c r="C1473" s="18" t="n"/>
      <c r="D1473" s="19" t="n"/>
      <c r="E1473" s="17" t="n"/>
      <c r="F1473" s="21">
        <f>IF(OR(B1473="",C1473=""),"",IFERROR(INT(ROUND(IFERROR(TIMEVALUE(IF(LEN(C1473)-LEN(SUBSTITUTE(C1473,":",""))=2,"","0:")&amp;C1473)*86400,"")/VALUE(SUBSTITUTE(B1473,"K","")),0)/60)&amp;":"&amp;TEXT(MOD(ROUND(IFERROR(TIMEVALUE(IF(LEN(C1473)-LEN(SUBSTITUTE(C1473,":",""))=2,"","0:")&amp;C1473)*86400,"")/VALUE(SUBSTITUTE(B1473,"K","")),0),60),"00"),""))</f>
        <v/>
      </c>
      <c r="G1473" s="21">
        <f>IF(A1473="","",IF(COUNTIF(Atletas!$A$2:$A$302,A1473)&gt;0,"Sí","No"))</f>
        <v/>
      </c>
    </row>
    <row r="1474">
      <c r="A1474" s="17" t="n"/>
      <c r="B1474" s="17" t="n"/>
      <c r="C1474" s="18" t="n"/>
      <c r="D1474" s="19" t="n"/>
      <c r="E1474" s="17" t="n"/>
      <c r="F1474" s="21">
        <f>IF(OR(B1474="",C1474=""),"",IFERROR(INT(ROUND(IFERROR(TIMEVALUE(IF(LEN(C1474)-LEN(SUBSTITUTE(C1474,":",""))=2,"","0:")&amp;C1474)*86400,"")/VALUE(SUBSTITUTE(B1474,"K","")),0)/60)&amp;":"&amp;TEXT(MOD(ROUND(IFERROR(TIMEVALUE(IF(LEN(C1474)-LEN(SUBSTITUTE(C1474,":",""))=2,"","0:")&amp;C1474)*86400,"")/VALUE(SUBSTITUTE(B1474,"K","")),0),60),"00"),""))</f>
        <v/>
      </c>
      <c r="G1474" s="21">
        <f>IF(A1474="","",IF(COUNTIF(Atletas!$A$2:$A$302,A1474)&gt;0,"Sí","No"))</f>
        <v/>
      </c>
    </row>
    <row r="1475">
      <c r="A1475" s="17" t="n"/>
      <c r="B1475" s="17" t="n"/>
      <c r="C1475" s="18" t="n"/>
      <c r="D1475" s="19" t="n"/>
      <c r="E1475" s="17" t="n"/>
      <c r="F1475" s="21">
        <f>IF(OR(B1475="",C1475=""),"",IFERROR(INT(ROUND(IFERROR(TIMEVALUE(IF(LEN(C1475)-LEN(SUBSTITUTE(C1475,":",""))=2,"","0:")&amp;C1475)*86400,"")/VALUE(SUBSTITUTE(B1475,"K","")),0)/60)&amp;":"&amp;TEXT(MOD(ROUND(IFERROR(TIMEVALUE(IF(LEN(C1475)-LEN(SUBSTITUTE(C1475,":",""))=2,"","0:")&amp;C1475)*86400,"")/VALUE(SUBSTITUTE(B1475,"K","")),0),60),"00"),""))</f>
        <v/>
      </c>
      <c r="G1475" s="21">
        <f>IF(A1475="","",IF(COUNTIF(Atletas!$A$2:$A$302,A1475)&gt;0,"Sí","No"))</f>
        <v/>
      </c>
    </row>
    <row r="1476">
      <c r="A1476" s="17" t="n"/>
      <c r="B1476" s="17" t="n"/>
      <c r="C1476" s="18" t="n"/>
      <c r="D1476" s="19" t="n"/>
      <c r="E1476" s="17" t="n"/>
      <c r="F1476" s="21">
        <f>IF(OR(B1476="",C1476=""),"",IFERROR(INT(ROUND(IFERROR(TIMEVALUE(IF(LEN(C1476)-LEN(SUBSTITUTE(C1476,":",""))=2,"","0:")&amp;C1476)*86400,"")/VALUE(SUBSTITUTE(B1476,"K","")),0)/60)&amp;":"&amp;TEXT(MOD(ROUND(IFERROR(TIMEVALUE(IF(LEN(C1476)-LEN(SUBSTITUTE(C1476,":",""))=2,"","0:")&amp;C1476)*86400,"")/VALUE(SUBSTITUTE(B1476,"K","")),0),60),"00"),""))</f>
        <v/>
      </c>
      <c r="G1476" s="21">
        <f>IF(A1476="","",IF(COUNTIF(Atletas!$A$2:$A$302,A1476)&gt;0,"Sí","No"))</f>
        <v/>
      </c>
    </row>
    <row r="1477">
      <c r="A1477" s="17" t="n"/>
      <c r="B1477" s="17" t="n"/>
      <c r="C1477" s="18" t="n"/>
      <c r="D1477" s="19" t="n"/>
      <c r="E1477" s="17" t="n"/>
      <c r="F1477" s="21">
        <f>IF(OR(B1477="",C1477=""),"",IFERROR(INT(ROUND(IFERROR(TIMEVALUE(IF(LEN(C1477)-LEN(SUBSTITUTE(C1477,":",""))=2,"","0:")&amp;C1477)*86400,"")/VALUE(SUBSTITUTE(B1477,"K","")),0)/60)&amp;":"&amp;TEXT(MOD(ROUND(IFERROR(TIMEVALUE(IF(LEN(C1477)-LEN(SUBSTITUTE(C1477,":",""))=2,"","0:")&amp;C1477)*86400,"")/VALUE(SUBSTITUTE(B1477,"K","")),0),60),"00"),""))</f>
        <v/>
      </c>
      <c r="G1477" s="21">
        <f>IF(A1477="","",IF(COUNTIF(Atletas!$A$2:$A$302,A1477)&gt;0,"Sí","No"))</f>
        <v/>
      </c>
    </row>
    <row r="1478">
      <c r="A1478" s="17" t="n"/>
      <c r="B1478" s="17" t="n"/>
      <c r="C1478" s="18" t="n"/>
      <c r="D1478" s="19" t="n"/>
      <c r="E1478" s="17" t="n"/>
      <c r="F1478" s="21">
        <f>IF(OR(B1478="",C1478=""),"",IFERROR(INT(ROUND(IFERROR(TIMEVALUE(IF(LEN(C1478)-LEN(SUBSTITUTE(C1478,":",""))=2,"","0:")&amp;C1478)*86400,"")/VALUE(SUBSTITUTE(B1478,"K","")),0)/60)&amp;":"&amp;TEXT(MOD(ROUND(IFERROR(TIMEVALUE(IF(LEN(C1478)-LEN(SUBSTITUTE(C1478,":",""))=2,"","0:")&amp;C1478)*86400,"")/VALUE(SUBSTITUTE(B1478,"K","")),0),60),"00"),""))</f>
        <v/>
      </c>
      <c r="G1478" s="21">
        <f>IF(A1478="","",IF(COUNTIF(Atletas!$A$2:$A$302,A1478)&gt;0,"Sí","No"))</f>
        <v/>
      </c>
    </row>
    <row r="1479">
      <c r="A1479" s="17" t="n"/>
      <c r="B1479" s="17" t="n"/>
      <c r="C1479" s="18" t="n"/>
      <c r="D1479" s="19" t="n"/>
      <c r="E1479" s="17" t="n"/>
      <c r="F1479" s="21">
        <f>IF(OR(B1479="",C1479=""),"",IFERROR(INT(ROUND(IFERROR(TIMEVALUE(IF(LEN(C1479)-LEN(SUBSTITUTE(C1479,":",""))=2,"","0:")&amp;C1479)*86400,"")/VALUE(SUBSTITUTE(B1479,"K","")),0)/60)&amp;":"&amp;TEXT(MOD(ROUND(IFERROR(TIMEVALUE(IF(LEN(C1479)-LEN(SUBSTITUTE(C1479,":",""))=2,"","0:")&amp;C1479)*86400,"")/VALUE(SUBSTITUTE(B1479,"K","")),0),60),"00"),""))</f>
        <v/>
      </c>
      <c r="G1479" s="21">
        <f>IF(A1479="","",IF(COUNTIF(Atletas!$A$2:$A$302,A1479)&gt;0,"Sí","No"))</f>
        <v/>
      </c>
    </row>
    <row r="1480">
      <c r="A1480" s="17" t="n"/>
      <c r="B1480" s="17" t="n"/>
      <c r="C1480" s="18" t="n"/>
      <c r="D1480" s="19" t="n"/>
      <c r="E1480" s="17" t="n"/>
      <c r="F1480" s="21">
        <f>IF(OR(B1480="",C1480=""),"",IFERROR(INT(ROUND(IFERROR(TIMEVALUE(IF(LEN(C1480)-LEN(SUBSTITUTE(C1480,":",""))=2,"","0:")&amp;C1480)*86400,"")/VALUE(SUBSTITUTE(B1480,"K","")),0)/60)&amp;":"&amp;TEXT(MOD(ROUND(IFERROR(TIMEVALUE(IF(LEN(C1480)-LEN(SUBSTITUTE(C1480,":",""))=2,"","0:")&amp;C1480)*86400,"")/VALUE(SUBSTITUTE(B1480,"K","")),0),60),"00"),""))</f>
        <v/>
      </c>
      <c r="G1480" s="21">
        <f>IF(A1480="","",IF(COUNTIF(Atletas!$A$2:$A$302,A1480)&gt;0,"Sí","No"))</f>
        <v/>
      </c>
    </row>
    <row r="1481">
      <c r="A1481" s="17" t="n"/>
      <c r="B1481" s="17" t="n"/>
      <c r="C1481" s="18" t="n"/>
      <c r="D1481" s="19" t="n"/>
      <c r="E1481" s="17" t="n"/>
      <c r="F1481" s="21">
        <f>IF(OR(B1481="",C1481=""),"",IFERROR(INT(ROUND(IFERROR(TIMEVALUE(IF(LEN(C1481)-LEN(SUBSTITUTE(C1481,":",""))=2,"","0:")&amp;C1481)*86400,"")/VALUE(SUBSTITUTE(B1481,"K","")),0)/60)&amp;":"&amp;TEXT(MOD(ROUND(IFERROR(TIMEVALUE(IF(LEN(C1481)-LEN(SUBSTITUTE(C1481,":",""))=2,"","0:")&amp;C1481)*86400,"")/VALUE(SUBSTITUTE(B1481,"K","")),0),60),"00"),""))</f>
        <v/>
      </c>
      <c r="G1481" s="21">
        <f>IF(A1481="","",IF(COUNTIF(Atletas!$A$2:$A$302,A1481)&gt;0,"Sí","No"))</f>
        <v/>
      </c>
    </row>
    <row r="1482">
      <c r="A1482" s="17" t="n"/>
      <c r="B1482" s="17" t="n"/>
      <c r="C1482" s="18" t="n"/>
      <c r="D1482" s="19" t="n"/>
      <c r="E1482" s="17" t="n"/>
      <c r="F1482" s="21">
        <f>IF(OR(B1482="",C1482=""),"",IFERROR(INT(ROUND(IFERROR(TIMEVALUE(IF(LEN(C1482)-LEN(SUBSTITUTE(C1482,":",""))=2,"","0:")&amp;C1482)*86400,"")/VALUE(SUBSTITUTE(B1482,"K","")),0)/60)&amp;":"&amp;TEXT(MOD(ROUND(IFERROR(TIMEVALUE(IF(LEN(C1482)-LEN(SUBSTITUTE(C1482,":",""))=2,"","0:")&amp;C1482)*86400,"")/VALUE(SUBSTITUTE(B1482,"K","")),0),60),"00"),""))</f>
        <v/>
      </c>
      <c r="G1482" s="21">
        <f>IF(A1482="","",IF(COUNTIF(Atletas!$A$2:$A$302,A1482)&gt;0,"Sí","No"))</f>
        <v/>
      </c>
    </row>
    <row r="1483">
      <c r="A1483" s="17" t="n"/>
      <c r="B1483" s="17" t="n"/>
      <c r="C1483" s="18" t="n"/>
      <c r="D1483" s="19" t="n"/>
      <c r="E1483" s="17" t="n"/>
      <c r="F1483" s="21">
        <f>IF(OR(B1483="",C1483=""),"",IFERROR(INT(ROUND(IFERROR(TIMEVALUE(IF(LEN(C1483)-LEN(SUBSTITUTE(C1483,":",""))=2,"","0:")&amp;C1483)*86400,"")/VALUE(SUBSTITUTE(B1483,"K","")),0)/60)&amp;":"&amp;TEXT(MOD(ROUND(IFERROR(TIMEVALUE(IF(LEN(C1483)-LEN(SUBSTITUTE(C1483,":",""))=2,"","0:")&amp;C1483)*86400,"")/VALUE(SUBSTITUTE(B1483,"K","")),0),60),"00"),""))</f>
        <v/>
      </c>
      <c r="G1483" s="21">
        <f>IF(A1483="","",IF(COUNTIF(Atletas!$A$2:$A$302,A1483)&gt;0,"Sí","No"))</f>
        <v/>
      </c>
    </row>
    <row r="1484">
      <c r="A1484" s="17" t="n"/>
      <c r="B1484" s="17" t="n"/>
      <c r="C1484" s="18" t="n"/>
      <c r="D1484" s="19" t="n"/>
      <c r="E1484" s="17" t="n"/>
      <c r="F1484" s="21">
        <f>IF(OR(B1484="",C1484=""),"",IFERROR(INT(ROUND(IFERROR(TIMEVALUE(IF(LEN(C1484)-LEN(SUBSTITUTE(C1484,":",""))=2,"","0:")&amp;C1484)*86400,"")/VALUE(SUBSTITUTE(B1484,"K","")),0)/60)&amp;":"&amp;TEXT(MOD(ROUND(IFERROR(TIMEVALUE(IF(LEN(C1484)-LEN(SUBSTITUTE(C1484,":",""))=2,"","0:")&amp;C1484)*86400,"")/VALUE(SUBSTITUTE(B1484,"K","")),0),60),"00"),""))</f>
        <v/>
      </c>
      <c r="G1484" s="21">
        <f>IF(A1484="","",IF(COUNTIF(Atletas!$A$2:$A$302,A1484)&gt;0,"Sí","No"))</f>
        <v/>
      </c>
    </row>
    <row r="1485">
      <c r="A1485" s="17" t="n"/>
      <c r="B1485" s="17" t="n"/>
      <c r="C1485" s="18" t="n"/>
      <c r="D1485" s="19" t="n"/>
      <c r="E1485" s="17" t="n"/>
      <c r="F1485" s="21">
        <f>IF(OR(B1485="",C1485=""),"",IFERROR(INT(ROUND(IFERROR(TIMEVALUE(IF(LEN(C1485)-LEN(SUBSTITUTE(C1485,":",""))=2,"","0:")&amp;C1485)*86400,"")/VALUE(SUBSTITUTE(B1485,"K","")),0)/60)&amp;":"&amp;TEXT(MOD(ROUND(IFERROR(TIMEVALUE(IF(LEN(C1485)-LEN(SUBSTITUTE(C1485,":",""))=2,"","0:")&amp;C1485)*86400,"")/VALUE(SUBSTITUTE(B1485,"K","")),0),60),"00"),""))</f>
        <v/>
      </c>
      <c r="G1485" s="21">
        <f>IF(A1485="","",IF(COUNTIF(Atletas!$A$2:$A$302,A1485)&gt;0,"Sí","No"))</f>
        <v/>
      </c>
    </row>
    <row r="1486">
      <c r="A1486" s="17" t="n"/>
      <c r="B1486" s="17" t="n"/>
      <c r="C1486" s="18" t="n"/>
      <c r="D1486" s="19" t="n"/>
      <c r="E1486" s="17" t="n"/>
      <c r="F1486" s="21">
        <f>IF(OR(B1486="",C1486=""),"",IFERROR(INT(ROUND(IFERROR(TIMEVALUE(IF(LEN(C1486)-LEN(SUBSTITUTE(C1486,":",""))=2,"","0:")&amp;C1486)*86400,"")/VALUE(SUBSTITUTE(B1486,"K","")),0)/60)&amp;":"&amp;TEXT(MOD(ROUND(IFERROR(TIMEVALUE(IF(LEN(C1486)-LEN(SUBSTITUTE(C1486,":",""))=2,"","0:")&amp;C1486)*86400,"")/VALUE(SUBSTITUTE(B1486,"K","")),0),60),"00"),""))</f>
        <v/>
      </c>
      <c r="G1486" s="21">
        <f>IF(A1486="","",IF(COUNTIF(Atletas!$A$2:$A$302,A1486)&gt;0,"Sí","No"))</f>
        <v/>
      </c>
    </row>
    <row r="1487">
      <c r="A1487" s="17" t="n"/>
      <c r="B1487" s="17" t="n"/>
      <c r="C1487" s="18" t="n"/>
      <c r="D1487" s="19" t="n"/>
      <c r="E1487" s="17" t="n"/>
      <c r="F1487" s="21">
        <f>IF(OR(B1487="",C1487=""),"",IFERROR(INT(ROUND(IFERROR(TIMEVALUE(IF(LEN(C1487)-LEN(SUBSTITUTE(C1487,":",""))=2,"","0:")&amp;C1487)*86400,"")/VALUE(SUBSTITUTE(B1487,"K","")),0)/60)&amp;":"&amp;TEXT(MOD(ROUND(IFERROR(TIMEVALUE(IF(LEN(C1487)-LEN(SUBSTITUTE(C1487,":",""))=2,"","0:")&amp;C1487)*86400,"")/VALUE(SUBSTITUTE(B1487,"K","")),0),60),"00"),""))</f>
        <v/>
      </c>
      <c r="G1487" s="21">
        <f>IF(A1487="","",IF(COUNTIF(Atletas!$A$2:$A$302,A1487)&gt;0,"Sí","No"))</f>
        <v/>
      </c>
    </row>
    <row r="1488">
      <c r="A1488" s="17" t="n"/>
      <c r="B1488" s="17" t="n"/>
      <c r="C1488" s="18" t="n"/>
      <c r="D1488" s="19" t="n"/>
      <c r="E1488" s="17" t="n"/>
      <c r="F1488" s="21">
        <f>IF(OR(B1488="",C1488=""),"",IFERROR(INT(ROUND(IFERROR(TIMEVALUE(IF(LEN(C1488)-LEN(SUBSTITUTE(C1488,":",""))=2,"","0:")&amp;C1488)*86400,"")/VALUE(SUBSTITUTE(B1488,"K","")),0)/60)&amp;":"&amp;TEXT(MOD(ROUND(IFERROR(TIMEVALUE(IF(LEN(C1488)-LEN(SUBSTITUTE(C1488,":",""))=2,"","0:")&amp;C1488)*86400,"")/VALUE(SUBSTITUTE(B1488,"K","")),0),60),"00"),""))</f>
        <v/>
      </c>
      <c r="G1488" s="21">
        <f>IF(A1488="","",IF(COUNTIF(Atletas!$A$2:$A$302,A1488)&gt;0,"Sí","No"))</f>
        <v/>
      </c>
    </row>
    <row r="1489">
      <c r="A1489" s="17" t="n"/>
      <c r="B1489" s="17" t="n"/>
      <c r="C1489" s="18" t="n"/>
      <c r="D1489" s="19" t="n"/>
      <c r="E1489" s="17" t="n"/>
      <c r="F1489" s="21">
        <f>IF(OR(B1489="",C1489=""),"",IFERROR(INT(ROUND(IFERROR(TIMEVALUE(IF(LEN(C1489)-LEN(SUBSTITUTE(C1489,":",""))=2,"","0:")&amp;C1489)*86400,"")/VALUE(SUBSTITUTE(B1489,"K","")),0)/60)&amp;":"&amp;TEXT(MOD(ROUND(IFERROR(TIMEVALUE(IF(LEN(C1489)-LEN(SUBSTITUTE(C1489,":",""))=2,"","0:")&amp;C1489)*86400,"")/VALUE(SUBSTITUTE(B1489,"K","")),0),60),"00"),""))</f>
        <v/>
      </c>
      <c r="G1489" s="21">
        <f>IF(A1489="","",IF(COUNTIF(Atletas!$A$2:$A$302,A1489)&gt;0,"Sí","No"))</f>
        <v/>
      </c>
    </row>
    <row r="1490">
      <c r="A1490" s="17" t="n"/>
      <c r="B1490" s="17" t="n"/>
      <c r="C1490" s="18" t="n"/>
      <c r="D1490" s="19" t="n"/>
      <c r="E1490" s="17" t="n"/>
      <c r="F1490" s="21">
        <f>IF(OR(B1490="",C1490=""),"",IFERROR(INT(ROUND(IFERROR(TIMEVALUE(IF(LEN(C1490)-LEN(SUBSTITUTE(C1490,":",""))=2,"","0:")&amp;C1490)*86400,"")/VALUE(SUBSTITUTE(B1490,"K","")),0)/60)&amp;":"&amp;TEXT(MOD(ROUND(IFERROR(TIMEVALUE(IF(LEN(C1490)-LEN(SUBSTITUTE(C1490,":",""))=2,"","0:")&amp;C1490)*86400,"")/VALUE(SUBSTITUTE(B1490,"K","")),0),60),"00"),""))</f>
        <v/>
      </c>
      <c r="G1490" s="21">
        <f>IF(A1490="","",IF(COUNTIF(Atletas!$A$2:$A$302,A1490)&gt;0,"Sí","No"))</f>
        <v/>
      </c>
    </row>
    <row r="1491">
      <c r="A1491" s="17" t="n"/>
      <c r="B1491" s="17" t="n"/>
      <c r="C1491" s="18" t="n"/>
      <c r="D1491" s="19" t="n"/>
      <c r="E1491" s="17" t="n"/>
      <c r="F1491" s="21">
        <f>IF(OR(B1491="",C1491=""),"",IFERROR(INT(ROUND(IFERROR(TIMEVALUE(IF(LEN(C1491)-LEN(SUBSTITUTE(C1491,":",""))=2,"","0:")&amp;C1491)*86400,"")/VALUE(SUBSTITUTE(B1491,"K","")),0)/60)&amp;":"&amp;TEXT(MOD(ROUND(IFERROR(TIMEVALUE(IF(LEN(C1491)-LEN(SUBSTITUTE(C1491,":",""))=2,"","0:")&amp;C1491)*86400,"")/VALUE(SUBSTITUTE(B1491,"K","")),0),60),"00"),""))</f>
        <v/>
      </c>
      <c r="G1491" s="21">
        <f>IF(A1491="","",IF(COUNTIF(Atletas!$A$2:$A$302,A1491)&gt;0,"Sí","No"))</f>
        <v/>
      </c>
    </row>
    <row r="1492">
      <c r="A1492" s="17" t="n"/>
      <c r="B1492" s="17" t="n"/>
      <c r="C1492" s="18" t="n"/>
      <c r="D1492" s="19" t="n"/>
      <c r="E1492" s="17" t="n"/>
      <c r="F1492" s="21">
        <f>IF(OR(B1492="",C1492=""),"",IFERROR(INT(ROUND(IFERROR(TIMEVALUE(IF(LEN(C1492)-LEN(SUBSTITUTE(C1492,":",""))=2,"","0:")&amp;C1492)*86400,"")/VALUE(SUBSTITUTE(B1492,"K","")),0)/60)&amp;":"&amp;TEXT(MOD(ROUND(IFERROR(TIMEVALUE(IF(LEN(C1492)-LEN(SUBSTITUTE(C1492,":",""))=2,"","0:")&amp;C1492)*86400,"")/VALUE(SUBSTITUTE(B1492,"K","")),0),60),"00"),""))</f>
        <v/>
      </c>
      <c r="G1492" s="21">
        <f>IF(A1492="","",IF(COUNTIF(Atletas!$A$2:$A$302,A1492)&gt;0,"Sí","No"))</f>
        <v/>
      </c>
    </row>
    <row r="1493">
      <c r="A1493" s="17" t="n"/>
      <c r="B1493" s="17" t="n"/>
      <c r="C1493" s="18" t="n"/>
      <c r="D1493" s="19" t="n"/>
      <c r="E1493" s="17" t="n"/>
      <c r="F1493" s="21">
        <f>IF(OR(B1493="",C1493=""),"",IFERROR(INT(ROUND(IFERROR(TIMEVALUE(IF(LEN(C1493)-LEN(SUBSTITUTE(C1493,":",""))=2,"","0:")&amp;C1493)*86400,"")/VALUE(SUBSTITUTE(B1493,"K","")),0)/60)&amp;":"&amp;TEXT(MOD(ROUND(IFERROR(TIMEVALUE(IF(LEN(C1493)-LEN(SUBSTITUTE(C1493,":",""))=2,"","0:")&amp;C1493)*86400,"")/VALUE(SUBSTITUTE(B1493,"K","")),0),60),"00"),""))</f>
        <v/>
      </c>
      <c r="G1493" s="21">
        <f>IF(A1493="","",IF(COUNTIF(Atletas!$A$2:$A$302,A1493)&gt;0,"Sí","No"))</f>
        <v/>
      </c>
    </row>
    <row r="1494">
      <c r="A1494" s="17" t="n"/>
      <c r="B1494" s="17" t="n"/>
      <c r="C1494" s="18" t="n"/>
      <c r="D1494" s="19" t="n"/>
      <c r="E1494" s="17" t="n"/>
      <c r="F1494" s="21">
        <f>IF(OR(B1494="",C1494=""),"",IFERROR(INT(ROUND(IFERROR(TIMEVALUE(IF(LEN(C1494)-LEN(SUBSTITUTE(C1494,":",""))=2,"","0:")&amp;C1494)*86400,"")/VALUE(SUBSTITUTE(B1494,"K","")),0)/60)&amp;":"&amp;TEXT(MOD(ROUND(IFERROR(TIMEVALUE(IF(LEN(C1494)-LEN(SUBSTITUTE(C1494,":",""))=2,"","0:")&amp;C1494)*86400,"")/VALUE(SUBSTITUTE(B1494,"K","")),0),60),"00"),""))</f>
        <v/>
      </c>
      <c r="G1494" s="21">
        <f>IF(A1494="","",IF(COUNTIF(Atletas!$A$2:$A$302,A1494)&gt;0,"Sí","No"))</f>
        <v/>
      </c>
    </row>
    <row r="1495">
      <c r="A1495" s="17" t="n"/>
      <c r="B1495" s="17" t="n"/>
      <c r="C1495" s="18" t="n"/>
      <c r="D1495" s="19" t="n"/>
      <c r="E1495" s="17" t="n"/>
      <c r="F1495" s="21">
        <f>IF(OR(B1495="",C1495=""),"",IFERROR(INT(ROUND(IFERROR(TIMEVALUE(IF(LEN(C1495)-LEN(SUBSTITUTE(C1495,":",""))=2,"","0:")&amp;C1495)*86400,"")/VALUE(SUBSTITUTE(B1495,"K","")),0)/60)&amp;":"&amp;TEXT(MOD(ROUND(IFERROR(TIMEVALUE(IF(LEN(C1495)-LEN(SUBSTITUTE(C1495,":",""))=2,"","0:")&amp;C1495)*86400,"")/VALUE(SUBSTITUTE(B1495,"K","")),0),60),"00"),""))</f>
        <v/>
      </c>
      <c r="G1495" s="21">
        <f>IF(A1495="","",IF(COUNTIF(Atletas!$A$2:$A$302,A1495)&gt;0,"Sí","No"))</f>
        <v/>
      </c>
    </row>
    <row r="1496">
      <c r="A1496" s="17" t="n"/>
      <c r="B1496" s="17" t="n"/>
      <c r="C1496" s="18" t="n"/>
      <c r="D1496" s="19" t="n"/>
      <c r="E1496" s="17" t="n"/>
      <c r="F1496" s="21">
        <f>IF(OR(B1496="",C1496=""),"",IFERROR(INT(ROUND(IFERROR(TIMEVALUE(IF(LEN(C1496)-LEN(SUBSTITUTE(C1496,":",""))=2,"","0:")&amp;C1496)*86400,"")/VALUE(SUBSTITUTE(B1496,"K","")),0)/60)&amp;":"&amp;TEXT(MOD(ROUND(IFERROR(TIMEVALUE(IF(LEN(C1496)-LEN(SUBSTITUTE(C1496,":",""))=2,"","0:")&amp;C1496)*86400,"")/VALUE(SUBSTITUTE(B1496,"K","")),0),60),"00"),""))</f>
        <v/>
      </c>
      <c r="G1496" s="21">
        <f>IF(A1496="","",IF(COUNTIF(Atletas!$A$2:$A$302,A1496)&gt;0,"Sí","No"))</f>
        <v/>
      </c>
    </row>
    <row r="1497">
      <c r="A1497" s="17" t="n"/>
      <c r="B1497" s="17" t="n"/>
      <c r="C1497" s="18" t="n"/>
      <c r="D1497" s="19" t="n"/>
      <c r="E1497" s="17" t="n"/>
      <c r="F1497" s="21">
        <f>IF(OR(B1497="",C1497=""),"",IFERROR(INT(ROUND(IFERROR(TIMEVALUE(IF(LEN(C1497)-LEN(SUBSTITUTE(C1497,":",""))=2,"","0:")&amp;C1497)*86400,"")/VALUE(SUBSTITUTE(B1497,"K","")),0)/60)&amp;":"&amp;TEXT(MOD(ROUND(IFERROR(TIMEVALUE(IF(LEN(C1497)-LEN(SUBSTITUTE(C1497,":",""))=2,"","0:")&amp;C1497)*86400,"")/VALUE(SUBSTITUTE(B1497,"K","")),0),60),"00"),""))</f>
        <v/>
      </c>
      <c r="G1497" s="21">
        <f>IF(A1497="","",IF(COUNTIF(Atletas!$A$2:$A$302,A1497)&gt;0,"Sí","No"))</f>
        <v/>
      </c>
    </row>
    <row r="1498">
      <c r="A1498" s="17" t="n"/>
      <c r="B1498" s="17" t="n"/>
      <c r="C1498" s="18" t="n"/>
      <c r="D1498" s="19" t="n"/>
      <c r="E1498" s="17" t="n"/>
      <c r="F1498" s="21">
        <f>IF(OR(B1498="",C1498=""),"",IFERROR(INT(ROUND(IFERROR(TIMEVALUE(IF(LEN(C1498)-LEN(SUBSTITUTE(C1498,":",""))=2,"","0:")&amp;C1498)*86400,"")/VALUE(SUBSTITUTE(B1498,"K","")),0)/60)&amp;":"&amp;TEXT(MOD(ROUND(IFERROR(TIMEVALUE(IF(LEN(C1498)-LEN(SUBSTITUTE(C1498,":",""))=2,"","0:")&amp;C1498)*86400,"")/VALUE(SUBSTITUTE(B1498,"K","")),0),60),"00"),""))</f>
        <v/>
      </c>
      <c r="G1498" s="21">
        <f>IF(A1498="","",IF(COUNTIF(Atletas!$A$2:$A$302,A1498)&gt;0,"Sí","No"))</f>
        <v/>
      </c>
    </row>
    <row r="1499">
      <c r="A1499" s="17" t="n"/>
      <c r="B1499" s="17" t="n"/>
      <c r="C1499" s="18" t="n"/>
      <c r="D1499" s="19" t="n"/>
      <c r="E1499" s="17" t="n"/>
      <c r="F1499" s="21">
        <f>IF(OR(B1499="",C1499=""),"",IFERROR(INT(ROUND(IFERROR(TIMEVALUE(IF(LEN(C1499)-LEN(SUBSTITUTE(C1499,":",""))=2,"","0:")&amp;C1499)*86400,"")/VALUE(SUBSTITUTE(B1499,"K","")),0)/60)&amp;":"&amp;TEXT(MOD(ROUND(IFERROR(TIMEVALUE(IF(LEN(C1499)-LEN(SUBSTITUTE(C1499,":",""))=2,"","0:")&amp;C1499)*86400,"")/VALUE(SUBSTITUTE(B1499,"K","")),0),60),"00"),""))</f>
        <v/>
      </c>
      <c r="G1499" s="21">
        <f>IF(A1499="","",IF(COUNTIF(Atletas!$A$2:$A$302,A1499)&gt;0,"Sí","No"))</f>
        <v/>
      </c>
    </row>
    <row r="1500">
      <c r="A1500" s="17" t="n"/>
      <c r="B1500" s="17" t="n"/>
      <c r="C1500" s="18" t="n"/>
      <c r="D1500" s="19" t="n"/>
      <c r="E1500" s="17" t="n"/>
      <c r="F1500" s="21">
        <f>IF(OR(B1500="",C1500=""),"",IFERROR(INT(ROUND(IFERROR(TIMEVALUE(IF(LEN(C1500)-LEN(SUBSTITUTE(C1500,":",""))=2,"","0:")&amp;C1500)*86400,"")/VALUE(SUBSTITUTE(B1500,"K","")),0)/60)&amp;":"&amp;TEXT(MOD(ROUND(IFERROR(TIMEVALUE(IF(LEN(C1500)-LEN(SUBSTITUTE(C1500,":",""))=2,"","0:")&amp;C1500)*86400,"")/VALUE(SUBSTITUTE(B1500,"K","")),0),60),"00"),""))</f>
        <v/>
      </c>
      <c r="G1500" s="21">
        <f>IF(A1500="","",IF(COUNTIF(Atletas!$A$2:$A$302,A1500)&gt;0,"Sí","No"))</f>
        <v/>
      </c>
    </row>
    <row r="1501">
      <c r="A1501" s="17" t="n"/>
      <c r="B1501" s="17" t="n"/>
      <c r="C1501" s="18" t="n"/>
      <c r="D1501" s="19" t="n"/>
      <c r="E1501" s="17" t="n"/>
      <c r="F1501" s="21">
        <f>IF(OR(B1501="",C1501=""),"",IFERROR(INT(ROUND(IFERROR(TIMEVALUE(IF(LEN(C1501)-LEN(SUBSTITUTE(C1501,":",""))=2,"","0:")&amp;C1501)*86400,"")/VALUE(SUBSTITUTE(B1501,"K","")),0)/60)&amp;":"&amp;TEXT(MOD(ROUND(IFERROR(TIMEVALUE(IF(LEN(C1501)-LEN(SUBSTITUTE(C1501,":",""))=2,"","0:")&amp;C1501)*86400,"")/VALUE(SUBSTITUTE(B1501,"K","")),0),60),"00"),""))</f>
        <v/>
      </c>
      <c r="G1501" s="21">
        <f>IF(A1501="","",IF(COUNTIF(Atletas!$A$2:$A$302,A1501)&gt;0,"Sí","No"))</f>
        <v/>
      </c>
    </row>
    <row r="1502">
      <c r="A1502" s="17" t="n"/>
      <c r="B1502" s="17" t="n"/>
      <c r="C1502" s="18" t="n"/>
      <c r="D1502" s="19" t="n"/>
      <c r="E1502" s="17" t="n"/>
      <c r="F1502" s="21">
        <f>IF(OR(B1502="",C1502=""),"",IFERROR(INT(ROUND(IFERROR(TIMEVALUE(IF(LEN(C1502)-LEN(SUBSTITUTE(C1502,":",""))=2,"","0:")&amp;C1502)*86400,"")/VALUE(SUBSTITUTE(B1502,"K","")),0)/60)&amp;":"&amp;TEXT(MOD(ROUND(IFERROR(TIMEVALUE(IF(LEN(C1502)-LEN(SUBSTITUTE(C1502,":",""))=2,"","0:")&amp;C1502)*86400,"")/VALUE(SUBSTITUTE(B1502,"K","")),0),60),"00"),""))</f>
        <v/>
      </c>
      <c r="G1502" s="21">
        <f>IF(A1502="","",IF(COUNTIF(Atletas!$A$2:$A$302,A1502)&gt;0,"Sí","No"))</f>
        <v/>
      </c>
    </row>
  </sheetData>
  <autoFilter ref="A1:G1502"/>
  <conditionalFormatting sqref="G3:G1502">
    <cfRule type="expression" priority="1" dxfId="0">
      <formula>$G3="No"</formula>
    </cfRule>
  </conditionalFormatting>
  <conditionalFormatting sqref="B3:B1502">
    <cfRule type="expression" priority="2" dxfId="0">
      <formula>AND($A3&lt;&gt;"",$B3="")</formula>
    </cfRule>
  </conditionalFormatting>
  <conditionalFormatting sqref="C3:C1502">
    <cfRule type="expression" priority="3" dxfId="0">
      <formula>AND($A3&lt;&gt;"",$C3="")</formula>
    </cfRule>
  </conditionalFormatting>
  <conditionalFormatting sqref="D3:D1502">
    <cfRule type="expression" priority="4" dxfId="0">
      <formula>AND($A3&lt;&gt;"",$D3="")</formula>
    </cfRule>
  </conditionalFormatting>
  <dataValidations count="5">
    <dataValidation sqref="A2:A1502" showDropDown="0" showInputMessage="0" showErrorMessage="1" allowBlank="1" errorTitle="Valor no válido" error="Elige un atleta de la hoja Atletas." type="list">
      <formula1>=Atletas!$A$2:$A$302</formula1>
    </dataValidation>
    <dataValidation sqref="B2:B1502" showDropDown="0" showInputMessage="0" showErrorMessage="1" allowBlank="1" errorTitle="Valor no válido" error="Elige una opción de la lista." type="list">
      <formula1>=lst_Distancia</formula1>
    </dataValidation>
    <dataValidation sqref="C2:C1502" showDropDown="0" showInputMessage="0" showErrorMessage="1" allowBlank="1" errorTitle="Valor no válido" error="Formato m:ss o h:mm:ss, entre 1:00 y 6:00:00." type="custom">
      <formula1>=AND(IFERROR(TIMEVALUE(IF(LEN(C2)-LEN(SUBSTITUTE(C2,":",""))=2,"","0:")&amp;C2)*86400,0)&gt;=60,IFERROR(TIMEVALUE(IF(LEN(C2)-LEN(SUBSTITUTE(C2,":",""))=2,"","0:")&amp;C2)*86400,0)&lt;=21600)</formula1>
    </dataValidation>
    <dataValidation sqref="D2:D1502" showDropDown="0" showInputMessage="0" showErrorMessage="1" allowBlank="1" errorTitle="Valor no válido" error="No puede ser una fecha futura." type="date" operator="lessThanOrEqual">
      <formula1>TODAY()</formula1>
    </dataValidation>
    <dataValidation sqref="E2:E1502" showDropDown="0" showInputMessage="0" showErrorMessage="1" allowBlank="1" errorTitle="Valor no válido" error="Hasta 500 caracteres." type="custom">
      <formula1>=LEN(E2)&lt;=500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20" customWidth="1" min="3" max="3"/>
    <col width="13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8" customWidth="1" min="14" max="14"/>
  </cols>
  <sheetData>
    <row r="1" ht="42" customHeight="1">
      <c r="A1" s="9" t="inlineStr">
        <is>
          <t>Nombre *</t>
        </is>
      </c>
      <c r="B1" s="9" t="inlineStr">
        <is>
          <t>Fecha *</t>
        </is>
      </c>
      <c r="C1" s="10" t="inlineStr">
        <is>
          <t>Lugar</t>
        </is>
      </c>
      <c r="D1" s="9" t="inlineStr">
        <is>
          <t>Deporte *</t>
        </is>
      </c>
      <c r="E1" s="10" t="inlineStr">
        <is>
          <t>Formato</t>
        </is>
      </c>
      <c r="F1" s="10" t="inlineStr">
        <is>
          <t>Distancia (km)</t>
        </is>
      </c>
      <c r="G1" s="10" t="inlineStr">
        <is>
          <t>Desnivel (m+)</t>
        </is>
      </c>
      <c r="H1" s="10" t="inlineStr">
        <is>
          <t>Natación (km)</t>
        </is>
      </c>
      <c r="I1" s="10" t="inlineStr">
        <is>
          <t>Bici (km)</t>
        </is>
      </c>
      <c r="J1" s="10" t="inlineStr">
        <is>
          <t>Carrera (km)</t>
        </is>
      </c>
      <c r="K1" s="10" t="inlineStr">
        <is>
          <t>Carrera 1 (km)</t>
        </is>
      </c>
      <c r="L1" s="10" t="inlineStr">
        <is>
          <t>Carrera 2 (km)</t>
        </is>
      </c>
      <c r="M1" s="10" t="inlineStr">
        <is>
          <t>Metros</t>
        </is>
      </c>
      <c r="N1" s="10" t="inlineStr">
        <is>
          <t>Nombre del deporte</t>
        </is>
      </c>
    </row>
    <row r="2">
      <c r="A2" s="12" t="inlineStr">
        <is>
          <t>Triatlón de la Costa</t>
        </is>
      </c>
      <c r="B2" s="14" t="n">
        <v>46467</v>
      </c>
      <c r="C2" s="12" t="inlineStr">
        <is>
          <t>La Libertad</t>
        </is>
      </c>
      <c r="D2" s="12" t="inlineStr">
        <is>
          <t>Triatlón</t>
        </is>
      </c>
      <c r="E2" s="12" t="inlineStr">
        <is>
          <t>Olímpico</t>
        </is>
      </c>
      <c r="F2" s="15" t="n"/>
      <c r="G2" s="15" t="n"/>
      <c r="H2" s="15" t="n"/>
      <c r="I2" s="15" t="n"/>
      <c r="J2" s="15" t="n"/>
      <c r="K2" s="15" t="n"/>
      <c r="L2" s="15" t="n"/>
      <c r="M2" s="12" t="n"/>
      <c r="N2" s="12" t="n"/>
    </row>
    <row r="3">
      <c r="A3" s="17" t="n"/>
      <c r="B3" s="19" t="n"/>
      <c r="C3" s="17" t="n"/>
      <c r="D3" s="17" t="n"/>
      <c r="E3" s="17" t="n"/>
      <c r="F3" s="20" t="n"/>
      <c r="G3" s="20" t="n"/>
      <c r="H3" s="20" t="n"/>
      <c r="I3" s="20" t="n"/>
      <c r="J3" s="20" t="n"/>
      <c r="K3" s="20" t="n"/>
      <c r="L3" s="20" t="n"/>
      <c r="M3" s="17" t="n"/>
      <c r="N3" s="17" t="n"/>
    </row>
    <row r="4">
      <c r="A4" s="17" t="n"/>
      <c r="B4" s="19" t="n"/>
      <c r="C4" s="17" t="n"/>
      <c r="D4" s="17" t="n"/>
      <c r="E4" s="17" t="n"/>
      <c r="F4" s="20" t="n"/>
      <c r="G4" s="20" t="n"/>
      <c r="H4" s="20" t="n"/>
      <c r="I4" s="20" t="n"/>
      <c r="J4" s="20" t="n"/>
      <c r="K4" s="20" t="n"/>
      <c r="L4" s="20" t="n"/>
      <c r="M4" s="17" t="n"/>
      <c r="N4" s="17" t="n"/>
    </row>
    <row r="5">
      <c r="A5" s="17" t="n"/>
      <c r="B5" s="19" t="n"/>
      <c r="C5" s="17" t="n"/>
      <c r="D5" s="17" t="n"/>
      <c r="E5" s="17" t="n"/>
      <c r="F5" s="20" t="n"/>
      <c r="G5" s="20" t="n"/>
      <c r="H5" s="20" t="n"/>
      <c r="I5" s="20" t="n"/>
      <c r="J5" s="20" t="n"/>
      <c r="K5" s="20" t="n"/>
      <c r="L5" s="20" t="n"/>
      <c r="M5" s="17" t="n"/>
      <c r="N5" s="17" t="n"/>
    </row>
    <row r="6">
      <c r="A6" s="17" t="n"/>
      <c r="B6" s="19" t="n"/>
      <c r="C6" s="17" t="n"/>
      <c r="D6" s="17" t="n"/>
      <c r="E6" s="17" t="n"/>
      <c r="F6" s="20" t="n"/>
      <c r="G6" s="20" t="n"/>
      <c r="H6" s="20" t="n"/>
      <c r="I6" s="20" t="n"/>
      <c r="J6" s="20" t="n"/>
      <c r="K6" s="20" t="n"/>
      <c r="L6" s="20" t="n"/>
      <c r="M6" s="17" t="n"/>
      <c r="N6" s="17" t="n"/>
    </row>
    <row r="7">
      <c r="A7" s="17" t="n"/>
      <c r="B7" s="19" t="n"/>
      <c r="C7" s="17" t="n"/>
      <c r="D7" s="17" t="n"/>
      <c r="E7" s="17" t="n"/>
      <c r="F7" s="20" t="n"/>
      <c r="G7" s="20" t="n"/>
      <c r="H7" s="20" t="n"/>
      <c r="I7" s="20" t="n"/>
      <c r="J7" s="20" t="n"/>
      <c r="K7" s="20" t="n"/>
      <c r="L7" s="20" t="n"/>
      <c r="M7" s="17" t="n"/>
      <c r="N7" s="17" t="n"/>
    </row>
    <row r="8">
      <c r="A8" s="17" t="n"/>
      <c r="B8" s="19" t="n"/>
      <c r="C8" s="17" t="n"/>
      <c r="D8" s="17" t="n"/>
      <c r="E8" s="17" t="n"/>
      <c r="F8" s="20" t="n"/>
      <c r="G8" s="20" t="n"/>
      <c r="H8" s="20" t="n"/>
      <c r="I8" s="20" t="n"/>
      <c r="J8" s="20" t="n"/>
      <c r="K8" s="20" t="n"/>
      <c r="L8" s="20" t="n"/>
      <c r="M8" s="17" t="n"/>
      <c r="N8" s="17" t="n"/>
    </row>
    <row r="9">
      <c r="A9" s="17" t="n"/>
      <c r="B9" s="19" t="n"/>
      <c r="C9" s="17" t="n"/>
      <c r="D9" s="17" t="n"/>
      <c r="E9" s="17" t="n"/>
      <c r="F9" s="20" t="n"/>
      <c r="G9" s="20" t="n"/>
      <c r="H9" s="20" t="n"/>
      <c r="I9" s="20" t="n"/>
      <c r="J9" s="20" t="n"/>
      <c r="K9" s="20" t="n"/>
      <c r="L9" s="20" t="n"/>
      <c r="M9" s="17" t="n"/>
      <c r="N9" s="17" t="n"/>
    </row>
    <row r="10">
      <c r="A10" s="17" t="n"/>
      <c r="B10" s="19" t="n"/>
      <c r="C10" s="17" t="n"/>
      <c r="D10" s="17" t="n"/>
      <c r="E10" s="17" t="n"/>
      <c r="F10" s="20" t="n"/>
      <c r="G10" s="20" t="n"/>
      <c r="H10" s="20" t="n"/>
      <c r="I10" s="20" t="n"/>
      <c r="J10" s="20" t="n"/>
      <c r="K10" s="20" t="n"/>
      <c r="L10" s="20" t="n"/>
      <c r="M10" s="17" t="n"/>
      <c r="N10" s="17" t="n"/>
    </row>
    <row r="11">
      <c r="A11" s="17" t="n"/>
      <c r="B11" s="19" t="n"/>
      <c r="C11" s="17" t="n"/>
      <c r="D11" s="17" t="n"/>
      <c r="E11" s="17" t="n"/>
      <c r="F11" s="20" t="n"/>
      <c r="G11" s="20" t="n"/>
      <c r="H11" s="20" t="n"/>
      <c r="I11" s="20" t="n"/>
      <c r="J11" s="20" t="n"/>
      <c r="K11" s="20" t="n"/>
      <c r="L11" s="20" t="n"/>
      <c r="M11" s="17" t="n"/>
      <c r="N11" s="17" t="n"/>
    </row>
    <row r="12">
      <c r="A12" s="17" t="n"/>
      <c r="B12" s="19" t="n"/>
      <c r="C12" s="17" t="n"/>
      <c r="D12" s="17" t="n"/>
      <c r="E12" s="17" t="n"/>
      <c r="F12" s="20" t="n"/>
      <c r="G12" s="20" t="n"/>
      <c r="H12" s="20" t="n"/>
      <c r="I12" s="20" t="n"/>
      <c r="J12" s="20" t="n"/>
      <c r="K12" s="20" t="n"/>
      <c r="L12" s="20" t="n"/>
      <c r="M12" s="17" t="n"/>
      <c r="N12" s="17" t="n"/>
    </row>
    <row r="13">
      <c r="A13" s="17" t="n"/>
      <c r="B13" s="19" t="n"/>
      <c r="C13" s="17" t="n"/>
      <c r="D13" s="17" t="n"/>
      <c r="E13" s="17" t="n"/>
      <c r="F13" s="20" t="n"/>
      <c r="G13" s="20" t="n"/>
      <c r="H13" s="20" t="n"/>
      <c r="I13" s="20" t="n"/>
      <c r="J13" s="20" t="n"/>
      <c r="K13" s="20" t="n"/>
      <c r="L13" s="20" t="n"/>
      <c r="M13" s="17" t="n"/>
      <c r="N13" s="17" t="n"/>
    </row>
    <row r="14">
      <c r="A14" s="17" t="n"/>
      <c r="B14" s="19" t="n"/>
      <c r="C14" s="17" t="n"/>
      <c r="D14" s="17" t="n"/>
      <c r="E14" s="17" t="n"/>
      <c r="F14" s="20" t="n"/>
      <c r="G14" s="20" t="n"/>
      <c r="H14" s="20" t="n"/>
      <c r="I14" s="20" t="n"/>
      <c r="J14" s="20" t="n"/>
      <c r="K14" s="20" t="n"/>
      <c r="L14" s="20" t="n"/>
      <c r="M14" s="17" t="n"/>
      <c r="N14" s="17" t="n"/>
    </row>
    <row r="15">
      <c r="A15" s="17" t="n"/>
      <c r="B15" s="19" t="n"/>
      <c r="C15" s="17" t="n"/>
      <c r="D15" s="17" t="n"/>
      <c r="E15" s="17" t="n"/>
      <c r="F15" s="20" t="n"/>
      <c r="G15" s="20" t="n"/>
      <c r="H15" s="20" t="n"/>
      <c r="I15" s="20" t="n"/>
      <c r="J15" s="20" t="n"/>
      <c r="K15" s="20" t="n"/>
      <c r="L15" s="20" t="n"/>
      <c r="M15" s="17" t="n"/>
      <c r="N15" s="17" t="n"/>
    </row>
    <row r="16">
      <c r="A16" s="17" t="n"/>
      <c r="B16" s="19" t="n"/>
      <c r="C16" s="17" t="n"/>
      <c r="D16" s="17" t="n"/>
      <c r="E16" s="17" t="n"/>
      <c r="F16" s="20" t="n"/>
      <c r="G16" s="20" t="n"/>
      <c r="H16" s="20" t="n"/>
      <c r="I16" s="20" t="n"/>
      <c r="J16" s="20" t="n"/>
      <c r="K16" s="20" t="n"/>
      <c r="L16" s="20" t="n"/>
      <c r="M16" s="17" t="n"/>
      <c r="N16" s="17" t="n"/>
    </row>
    <row r="17">
      <c r="A17" s="17" t="n"/>
      <c r="B17" s="19" t="n"/>
      <c r="C17" s="17" t="n"/>
      <c r="D17" s="17" t="n"/>
      <c r="E17" s="17" t="n"/>
      <c r="F17" s="20" t="n"/>
      <c r="G17" s="20" t="n"/>
      <c r="H17" s="20" t="n"/>
      <c r="I17" s="20" t="n"/>
      <c r="J17" s="20" t="n"/>
      <c r="K17" s="20" t="n"/>
      <c r="L17" s="20" t="n"/>
      <c r="M17" s="17" t="n"/>
      <c r="N17" s="17" t="n"/>
    </row>
    <row r="18">
      <c r="A18" s="17" t="n"/>
      <c r="B18" s="19" t="n"/>
      <c r="C18" s="17" t="n"/>
      <c r="D18" s="17" t="n"/>
      <c r="E18" s="17" t="n"/>
      <c r="F18" s="20" t="n"/>
      <c r="G18" s="20" t="n"/>
      <c r="H18" s="20" t="n"/>
      <c r="I18" s="20" t="n"/>
      <c r="J18" s="20" t="n"/>
      <c r="K18" s="20" t="n"/>
      <c r="L18" s="20" t="n"/>
      <c r="M18" s="17" t="n"/>
      <c r="N18" s="17" t="n"/>
    </row>
    <row r="19">
      <c r="A19" s="17" t="n"/>
      <c r="B19" s="19" t="n"/>
      <c r="C19" s="17" t="n"/>
      <c r="D19" s="17" t="n"/>
      <c r="E19" s="17" t="n"/>
      <c r="F19" s="20" t="n"/>
      <c r="G19" s="20" t="n"/>
      <c r="H19" s="20" t="n"/>
      <c r="I19" s="20" t="n"/>
      <c r="J19" s="20" t="n"/>
      <c r="K19" s="20" t="n"/>
      <c r="L19" s="20" t="n"/>
      <c r="M19" s="17" t="n"/>
      <c r="N19" s="17" t="n"/>
    </row>
    <row r="20">
      <c r="A20" s="17" t="n"/>
      <c r="B20" s="19" t="n"/>
      <c r="C20" s="17" t="n"/>
      <c r="D20" s="17" t="n"/>
      <c r="E20" s="17" t="n"/>
      <c r="F20" s="20" t="n"/>
      <c r="G20" s="20" t="n"/>
      <c r="H20" s="20" t="n"/>
      <c r="I20" s="20" t="n"/>
      <c r="J20" s="20" t="n"/>
      <c r="K20" s="20" t="n"/>
      <c r="L20" s="20" t="n"/>
      <c r="M20" s="17" t="n"/>
      <c r="N20" s="17" t="n"/>
    </row>
    <row r="21">
      <c r="A21" s="17" t="n"/>
      <c r="B21" s="19" t="n"/>
      <c r="C21" s="17" t="n"/>
      <c r="D21" s="17" t="n"/>
      <c r="E21" s="17" t="n"/>
      <c r="F21" s="20" t="n"/>
      <c r="G21" s="20" t="n"/>
      <c r="H21" s="20" t="n"/>
      <c r="I21" s="20" t="n"/>
      <c r="J21" s="20" t="n"/>
      <c r="K21" s="20" t="n"/>
      <c r="L21" s="20" t="n"/>
      <c r="M21" s="17" t="n"/>
      <c r="N21" s="17" t="n"/>
    </row>
    <row r="22">
      <c r="A22" s="17" t="n"/>
      <c r="B22" s="19" t="n"/>
      <c r="C22" s="17" t="n"/>
      <c r="D22" s="17" t="n"/>
      <c r="E22" s="17" t="n"/>
      <c r="F22" s="20" t="n"/>
      <c r="G22" s="20" t="n"/>
      <c r="H22" s="20" t="n"/>
      <c r="I22" s="20" t="n"/>
      <c r="J22" s="20" t="n"/>
      <c r="K22" s="20" t="n"/>
      <c r="L22" s="20" t="n"/>
      <c r="M22" s="17" t="n"/>
      <c r="N22" s="17" t="n"/>
    </row>
    <row r="23">
      <c r="A23" s="17" t="n"/>
      <c r="B23" s="19" t="n"/>
      <c r="C23" s="17" t="n"/>
      <c r="D23" s="17" t="n"/>
      <c r="E23" s="17" t="n"/>
      <c r="F23" s="20" t="n"/>
      <c r="G23" s="20" t="n"/>
      <c r="H23" s="20" t="n"/>
      <c r="I23" s="20" t="n"/>
      <c r="J23" s="20" t="n"/>
      <c r="K23" s="20" t="n"/>
      <c r="L23" s="20" t="n"/>
      <c r="M23" s="17" t="n"/>
      <c r="N23" s="17" t="n"/>
    </row>
    <row r="24">
      <c r="A24" s="17" t="n"/>
      <c r="B24" s="19" t="n"/>
      <c r="C24" s="17" t="n"/>
      <c r="D24" s="17" t="n"/>
      <c r="E24" s="17" t="n"/>
      <c r="F24" s="20" t="n"/>
      <c r="G24" s="20" t="n"/>
      <c r="H24" s="20" t="n"/>
      <c r="I24" s="20" t="n"/>
      <c r="J24" s="20" t="n"/>
      <c r="K24" s="20" t="n"/>
      <c r="L24" s="20" t="n"/>
      <c r="M24" s="17" t="n"/>
      <c r="N24" s="17" t="n"/>
    </row>
    <row r="25">
      <c r="A25" s="17" t="n"/>
      <c r="B25" s="19" t="n"/>
      <c r="C25" s="17" t="n"/>
      <c r="D25" s="17" t="n"/>
      <c r="E25" s="17" t="n"/>
      <c r="F25" s="20" t="n"/>
      <c r="G25" s="20" t="n"/>
      <c r="H25" s="20" t="n"/>
      <c r="I25" s="20" t="n"/>
      <c r="J25" s="20" t="n"/>
      <c r="K25" s="20" t="n"/>
      <c r="L25" s="20" t="n"/>
      <c r="M25" s="17" t="n"/>
      <c r="N25" s="17" t="n"/>
    </row>
    <row r="26">
      <c r="A26" s="17" t="n"/>
      <c r="B26" s="19" t="n"/>
      <c r="C26" s="17" t="n"/>
      <c r="D26" s="17" t="n"/>
      <c r="E26" s="17" t="n"/>
      <c r="F26" s="20" t="n"/>
      <c r="G26" s="20" t="n"/>
      <c r="H26" s="20" t="n"/>
      <c r="I26" s="20" t="n"/>
      <c r="J26" s="20" t="n"/>
      <c r="K26" s="20" t="n"/>
      <c r="L26" s="20" t="n"/>
      <c r="M26" s="17" t="n"/>
      <c r="N26" s="17" t="n"/>
    </row>
    <row r="27">
      <c r="A27" s="17" t="n"/>
      <c r="B27" s="19" t="n"/>
      <c r="C27" s="17" t="n"/>
      <c r="D27" s="17" t="n"/>
      <c r="E27" s="17" t="n"/>
      <c r="F27" s="20" t="n"/>
      <c r="G27" s="20" t="n"/>
      <c r="H27" s="20" t="n"/>
      <c r="I27" s="20" t="n"/>
      <c r="J27" s="20" t="n"/>
      <c r="K27" s="20" t="n"/>
      <c r="L27" s="20" t="n"/>
      <c r="M27" s="17" t="n"/>
      <c r="N27" s="17" t="n"/>
    </row>
    <row r="28">
      <c r="A28" s="17" t="n"/>
      <c r="B28" s="19" t="n"/>
      <c r="C28" s="17" t="n"/>
      <c r="D28" s="17" t="n"/>
      <c r="E28" s="17" t="n"/>
      <c r="F28" s="20" t="n"/>
      <c r="G28" s="20" t="n"/>
      <c r="H28" s="20" t="n"/>
      <c r="I28" s="20" t="n"/>
      <c r="J28" s="20" t="n"/>
      <c r="K28" s="20" t="n"/>
      <c r="L28" s="20" t="n"/>
      <c r="M28" s="17" t="n"/>
      <c r="N28" s="17" t="n"/>
    </row>
    <row r="29">
      <c r="A29" s="17" t="n"/>
      <c r="B29" s="19" t="n"/>
      <c r="C29" s="17" t="n"/>
      <c r="D29" s="17" t="n"/>
      <c r="E29" s="17" t="n"/>
      <c r="F29" s="20" t="n"/>
      <c r="G29" s="20" t="n"/>
      <c r="H29" s="20" t="n"/>
      <c r="I29" s="20" t="n"/>
      <c r="J29" s="20" t="n"/>
      <c r="K29" s="20" t="n"/>
      <c r="L29" s="20" t="n"/>
      <c r="M29" s="17" t="n"/>
      <c r="N29" s="17" t="n"/>
    </row>
    <row r="30">
      <c r="A30" s="17" t="n"/>
      <c r="B30" s="19" t="n"/>
      <c r="C30" s="17" t="n"/>
      <c r="D30" s="17" t="n"/>
      <c r="E30" s="17" t="n"/>
      <c r="F30" s="20" t="n"/>
      <c r="G30" s="20" t="n"/>
      <c r="H30" s="20" t="n"/>
      <c r="I30" s="20" t="n"/>
      <c r="J30" s="20" t="n"/>
      <c r="K30" s="20" t="n"/>
      <c r="L30" s="20" t="n"/>
      <c r="M30" s="17" t="n"/>
      <c r="N30" s="17" t="n"/>
    </row>
    <row r="31">
      <c r="A31" s="17" t="n"/>
      <c r="B31" s="19" t="n"/>
      <c r="C31" s="17" t="n"/>
      <c r="D31" s="17" t="n"/>
      <c r="E31" s="17" t="n"/>
      <c r="F31" s="20" t="n"/>
      <c r="G31" s="20" t="n"/>
      <c r="H31" s="20" t="n"/>
      <c r="I31" s="20" t="n"/>
      <c r="J31" s="20" t="n"/>
      <c r="K31" s="20" t="n"/>
      <c r="L31" s="20" t="n"/>
      <c r="M31" s="17" t="n"/>
      <c r="N31" s="17" t="n"/>
    </row>
    <row r="32">
      <c r="A32" s="17" t="n"/>
      <c r="B32" s="19" t="n"/>
      <c r="C32" s="17" t="n"/>
      <c r="D32" s="17" t="n"/>
      <c r="E32" s="17" t="n"/>
      <c r="F32" s="20" t="n"/>
      <c r="G32" s="20" t="n"/>
      <c r="H32" s="20" t="n"/>
      <c r="I32" s="20" t="n"/>
      <c r="J32" s="20" t="n"/>
      <c r="K32" s="20" t="n"/>
      <c r="L32" s="20" t="n"/>
      <c r="M32" s="17" t="n"/>
      <c r="N32" s="17" t="n"/>
    </row>
    <row r="33">
      <c r="A33" s="17" t="n"/>
      <c r="B33" s="19" t="n"/>
      <c r="C33" s="17" t="n"/>
      <c r="D33" s="17" t="n"/>
      <c r="E33" s="17" t="n"/>
      <c r="F33" s="20" t="n"/>
      <c r="G33" s="20" t="n"/>
      <c r="H33" s="20" t="n"/>
      <c r="I33" s="20" t="n"/>
      <c r="J33" s="20" t="n"/>
      <c r="K33" s="20" t="n"/>
      <c r="L33" s="20" t="n"/>
      <c r="M33" s="17" t="n"/>
      <c r="N33" s="17" t="n"/>
    </row>
    <row r="34">
      <c r="A34" s="17" t="n"/>
      <c r="B34" s="19" t="n"/>
      <c r="C34" s="17" t="n"/>
      <c r="D34" s="17" t="n"/>
      <c r="E34" s="17" t="n"/>
      <c r="F34" s="20" t="n"/>
      <c r="G34" s="20" t="n"/>
      <c r="H34" s="20" t="n"/>
      <c r="I34" s="20" t="n"/>
      <c r="J34" s="20" t="n"/>
      <c r="K34" s="20" t="n"/>
      <c r="L34" s="20" t="n"/>
      <c r="M34" s="17" t="n"/>
      <c r="N34" s="17" t="n"/>
    </row>
    <row r="35">
      <c r="A35" s="17" t="n"/>
      <c r="B35" s="19" t="n"/>
      <c r="C35" s="17" t="n"/>
      <c r="D35" s="17" t="n"/>
      <c r="E35" s="17" t="n"/>
      <c r="F35" s="20" t="n"/>
      <c r="G35" s="20" t="n"/>
      <c r="H35" s="20" t="n"/>
      <c r="I35" s="20" t="n"/>
      <c r="J35" s="20" t="n"/>
      <c r="K35" s="20" t="n"/>
      <c r="L35" s="20" t="n"/>
      <c r="M35" s="17" t="n"/>
      <c r="N35" s="17" t="n"/>
    </row>
    <row r="36">
      <c r="A36" s="17" t="n"/>
      <c r="B36" s="19" t="n"/>
      <c r="C36" s="17" t="n"/>
      <c r="D36" s="17" t="n"/>
      <c r="E36" s="17" t="n"/>
      <c r="F36" s="20" t="n"/>
      <c r="G36" s="20" t="n"/>
      <c r="H36" s="20" t="n"/>
      <c r="I36" s="20" t="n"/>
      <c r="J36" s="20" t="n"/>
      <c r="K36" s="20" t="n"/>
      <c r="L36" s="20" t="n"/>
      <c r="M36" s="17" t="n"/>
      <c r="N36" s="17" t="n"/>
    </row>
    <row r="37">
      <c r="A37" s="17" t="n"/>
      <c r="B37" s="19" t="n"/>
      <c r="C37" s="17" t="n"/>
      <c r="D37" s="17" t="n"/>
      <c r="E37" s="17" t="n"/>
      <c r="F37" s="20" t="n"/>
      <c r="G37" s="20" t="n"/>
      <c r="H37" s="20" t="n"/>
      <c r="I37" s="20" t="n"/>
      <c r="J37" s="20" t="n"/>
      <c r="K37" s="20" t="n"/>
      <c r="L37" s="20" t="n"/>
      <c r="M37" s="17" t="n"/>
      <c r="N37" s="17" t="n"/>
    </row>
    <row r="38">
      <c r="A38" s="17" t="n"/>
      <c r="B38" s="19" t="n"/>
      <c r="C38" s="17" t="n"/>
      <c r="D38" s="17" t="n"/>
      <c r="E38" s="17" t="n"/>
      <c r="F38" s="20" t="n"/>
      <c r="G38" s="20" t="n"/>
      <c r="H38" s="20" t="n"/>
      <c r="I38" s="20" t="n"/>
      <c r="J38" s="20" t="n"/>
      <c r="K38" s="20" t="n"/>
      <c r="L38" s="20" t="n"/>
      <c r="M38" s="17" t="n"/>
      <c r="N38" s="17" t="n"/>
    </row>
    <row r="39">
      <c r="A39" s="17" t="n"/>
      <c r="B39" s="19" t="n"/>
      <c r="C39" s="17" t="n"/>
      <c r="D39" s="17" t="n"/>
      <c r="E39" s="17" t="n"/>
      <c r="F39" s="20" t="n"/>
      <c r="G39" s="20" t="n"/>
      <c r="H39" s="20" t="n"/>
      <c r="I39" s="20" t="n"/>
      <c r="J39" s="20" t="n"/>
      <c r="K39" s="20" t="n"/>
      <c r="L39" s="20" t="n"/>
      <c r="M39" s="17" t="n"/>
      <c r="N39" s="17" t="n"/>
    </row>
    <row r="40">
      <c r="A40" s="17" t="n"/>
      <c r="B40" s="19" t="n"/>
      <c r="C40" s="17" t="n"/>
      <c r="D40" s="17" t="n"/>
      <c r="E40" s="17" t="n"/>
      <c r="F40" s="20" t="n"/>
      <c r="G40" s="20" t="n"/>
      <c r="H40" s="20" t="n"/>
      <c r="I40" s="20" t="n"/>
      <c r="J40" s="20" t="n"/>
      <c r="K40" s="20" t="n"/>
      <c r="L40" s="20" t="n"/>
      <c r="M40" s="17" t="n"/>
      <c r="N40" s="17" t="n"/>
    </row>
    <row r="41">
      <c r="A41" s="17" t="n"/>
      <c r="B41" s="19" t="n"/>
      <c r="C41" s="17" t="n"/>
      <c r="D41" s="17" t="n"/>
      <c r="E41" s="17" t="n"/>
      <c r="F41" s="20" t="n"/>
      <c r="G41" s="20" t="n"/>
      <c r="H41" s="20" t="n"/>
      <c r="I41" s="20" t="n"/>
      <c r="J41" s="20" t="n"/>
      <c r="K41" s="20" t="n"/>
      <c r="L41" s="20" t="n"/>
      <c r="M41" s="17" t="n"/>
      <c r="N41" s="17" t="n"/>
    </row>
    <row r="42">
      <c r="A42" s="17" t="n"/>
      <c r="B42" s="19" t="n"/>
      <c r="C42" s="17" t="n"/>
      <c r="D42" s="17" t="n"/>
      <c r="E42" s="17" t="n"/>
      <c r="F42" s="20" t="n"/>
      <c r="G42" s="20" t="n"/>
      <c r="H42" s="20" t="n"/>
      <c r="I42" s="20" t="n"/>
      <c r="J42" s="20" t="n"/>
      <c r="K42" s="20" t="n"/>
      <c r="L42" s="20" t="n"/>
      <c r="M42" s="17" t="n"/>
      <c r="N42" s="17" t="n"/>
    </row>
    <row r="43">
      <c r="A43" s="17" t="n"/>
      <c r="B43" s="19" t="n"/>
      <c r="C43" s="17" t="n"/>
      <c r="D43" s="17" t="n"/>
      <c r="E43" s="17" t="n"/>
      <c r="F43" s="20" t="n"/>
      <c r="G43" s="20" t="n"/>
      <c r="H43" s="20" t="n"/>
      <c r="I43" s="20" t="n"/>
      <c r="J43" s="20" t="n"/>
      <c r="K43" s="20" t="n"/>
      <c r="L43" s="20" t="n"/>
      <c r="M43" s="17" t="n"/>
      <c r="N43" s="17" t="n"/>
    </row>
    <row r="44">
      <c r="A44" s="17" t="n"/>
      <c r="B44" s="19" t="n"/>
      <c r="C44" s="17" t="n"/>
      <c r="D44" s="17" t="n"/>
      <c r="E44" s="17" t="n"/>
      <c r="F44" s="20" t="n"/>
      <c r="G44" s="20" t="n"/>
      <c r="H44" s="20" t="n"/>
      <c r="I44" s="20" t="n"/>
      <c r="J44" s="20" t="n"/>
      <c r="K44" s="20" t="n"/>
      <c r="L44" s="20" t="n"/>
      <c r="M44" s="17" t="n"/>
      <c r="N44" s="17" t="n"/>
    </row>
    <row r="45">
      <c r="A45" s="17" t="n"/>
      <c r="B45" s="19" t="n"/>
      <c r="C45" s="17" t="n"/>
      <c r="D45" s="17" t="n"/>
      <c r="E45" s="17" t="n"/>
      <c r="F45" s="20" t="n"/>
      <c r="G45" s="20" t="n"/>
      <c r="H45" s="20" t="n"/>
      <c r="I45" s="20" t="n"/>
      <c r="J45" s="20" t="n"/>
      <c r="K45" s="20" t="n"/>
      <c r="L45" s="20" t="n"/>
      <c r="M45" s="17" t="n"/>
      <c r="N45" s="17" t="n"/>
    </row>
    <row r="46">
      <c r="A46" s="17" t="n"/>
      <c r="B46" s="19" t="n"/>
      <c r="C46" s="17" t="n"/>
      <c r="D46" s="17" t="n"/>
      <c r="E46" s="17" t="n"/>
      <c r="F46" s="20" t="n"/>
      <c r="G46" s="20" t="n"/>
      <c r="H46" s="20" t="n"/>
      <c r="I46" s="20" t="n"/>
      <c r="J46" s="20" t="n"/>
      <c r="K46" s="20" t="n"/>
      <c r="L46" s="20" t="n"/>
      <c r="M46" s="17" t="n"/>
      <c r="N46" s="17" t="n"/>
    </row>
    <row r="47">
      <c r="A47" s="17" t="n"/>
      <c r="B47" s="19" t="n"/>
      <c r="C47" s="17" t="n"/>
      <c r="D47" s="17" t="n"/>
      <c r="E47" s="17" t="n"/>
      <c r="F47" s="20" t="n"/>
      <c r="G47" s="20" t="n"/>
      <c r="H47" s="20" t="n"/>
      <c r="I47" s="20" t="n"/>
      <c r="J47" s="20" t="n"/>
      <c r="K47" s="20" t="n"/>
      <c r="L47" s="20" t="n"/>
      <c r="M47" s="17" t="n"/>
      <c r="N47" s="17" t="n"/>
    </row>
    <row r="48">
      <c r="A48" s="17" t="n"/>
      <c r="B48" s="19" t="n"/>
      <c r="C48" s="17" t="n"/>
      <c r="D48" s="17" t="n"/>
      <c r="E48" s="17" t="n"/>
      <c r="F48" s="20" t="n"/>
      <c r="G48" s="20" t="n"/>
      <c r="H48" s="20" t="n"/>
      <c r="I48" s="20" t="n"/>
      <c r="J48" s="20" t="n"/>
      <c r="K48" s="20" t="n"/>
      <c r="L48" s="20" t="n"/>
      <c r="M48" s="17" t="n"/>
      <c r="N48" s="17" t="n"/>
    </row>
    <row r="49">
      <c r="A49" s="17" t="n"/>
      <c r="B49" s="19" t="n"/>
      <c r="C49" s="17" t="n"/>
      <c r="D49" s="17" t="n"/>
      <c r="E49" s="17" t="n"/>
      <c r="F49" s="20" t="n"/>
      <c r="G49" s="20" t="n"/>
      <c r="H49" s="20" t="n"/>
      <c r="I49" s="20" t="n"/>
      <c r="J49" s="20" t="n"/>
      <c r="K49" s="20" t="n"/>
      <c r="L49" s="20" t="n"/>
      <c r="M49" s="17" t="n"/>
      <c r="N49" s="17" t="n"/>
    </row>
    <row r="50">
      <c r="A50" s="17" t="n"/>
      <c r="B50" s="19" t="n"/>
      <c r="C50" s="17" t="n"/>
      <c r="D50" s="17" t="n"/>
      <c r="E50" s="17" t="n"/>
      <c r="F50" s="20" t="n"/>
      <c r="G50" s="20" t="n"/>
      <c r="H50" s="20" t="n"/>
      <c r="I50" s="20" t="n"/>
      <c r="J50" s="20" t="n"/>
      <c r="K50" s="20" t="n"/>
      <c r="L50" s="20" t="n"/>
      <c r="M50" s="17" t="n"/>
      <c r="N50" s="17" t="n"/>
    </row>
    <row r="51">
      <c r="A51" s="17" t="n"/>
      <c r="B51" s="19" t="n"/>
      <c r="C51" s="17" t="n"/>
      <c r="D51" s="17" t="n"/>
      <c r="E51" s="17" t="n"/>
      <c r="F51" s="20" t="n"/>
      <c r="G51" s="20" t="n"/>
      <c r="H51" s="20" t="n"/>
      <c r="I51" s="20" t="n"/>
      <c r="J51" s="20" t="n"/>
      <c r="K51" s="20" t="n"/>
      <c r="L51" s="20" t="n"/>
      <c r="M51" s="17" t="n"/>
      <c r="N51" s="17" t="n"/>
    </row>
    <row r="52">
      <c r="A52" s="17" t="n"/>
      <c r="B52" s="19" t="n"/>
      <c r="C52" s="17" t="n"/>
      <c r="D52" s="17" t="n"/>
      <c r="E52" s="17" t="n"/>
      <c r="F52" s="20" t="n"/>
      <c r="G52" s="20" t="n"/>
      <c r="H52" s="20" t="n"/>
      <c r="I52" s="20" t="n"/>
      <c r="J52" s="20" t="n"/>
      <c r="K52" s="20" t="n"/>
      <c r="L52" s="20" t="n"/>
      <c r="M52" s="17" t="n"/>
      <c r="N52" s="17" t="n"/>
    </row>
    <row r="53">
      <c r="A53" s="17" t="n"/>
      <c r="B53" s="19" t="n"/>
      <c r="C53" s="17" t="n"/>
      <c r="D53" s="17" t="n"/>
      <c r="E53" s="17" t="n"/>
      <c r="F53" s="20" t="n"/>
      <c r="G53" s="20" t="n"/>
      <c r="H53" s="20" t="n"/>
      <c r="I53" s="20" t="n"/>
      <c r="J53" s="20" t="n"/>
      <c r="K53" s="20" t="n"/>
      <c r="L53" s="20" t="n"/>
      <c r="M53" s="17" t="n"/>
      <c r="N53" s="17" t="n"/>
    </row>
    <row r="54">
      <c r="A54" s="17" t="n"/>
      <c r="B54" s="19" t="n"/>
      <c r="C54" s="17" t="n"/>
      <c r="D54" s="17" t="n"/>
      <c r="E54" s="17" t="n"/>
      <c r="F54" s="20" t="n"/>
      <c r="G54" s="20" t="n"/>
      <c r="H54" s="20" t="n"/>
      <c r="I54" s="20" t="n"/>
      <c r="J54" s="20" t="n"/>
      <c r="K54" s="20" t="n"/>
      <c r="L54" s="20" t="n"/>
      <c r="M54" s="17" t="n"/>
      <c r="N54" s="17" t="n"/>
    </row>
    <row r="55">
      <c r="A55" s="17" t="n"/>
      <c r="B55" s="19" t="n"/>
      <c r="C55" s="17" t="n"/>
      <c r="D55" s="17" t="n"/>
      <c r="E55" s="17" t="n"/>
      <c r="F55" s="20" t="n"/>
      <c r="G55" s="20" t="n"/>
      <c r="H55" s="20" t="n"/>
      <c r="I55" s="20" t="n"/>
      <c r="J55" s="20" t="n"/>
      <c r="K55" s="20" t="n"/>
      <c r="L55" s="20" t="n"/>
      <c r="M55" s="17" t="n"/>
      <c r="N55" s="17" t="n"/>
    </row>
    <row r="56">
      <c r="A56" s="17" t="n"/>
      <c r="B56" s="19" t="n"/>
      <c r="C56" s="17" t="n"/>
      <c r="D56" s="17" t="n"/>
      <c r="E56" s="17" t="n"/>
      <c r="F56" s="20" t="n"/>
      <c r="G56" s="20" t="n"/>
      <c r="H56" s="20" t="n"/>
      <c r="I56" s="20" t="n"/>
      <c r="J56" s="20" t="n"/>
      <c r="K56" s="20" t="n"/>
      <c r="L56" s="20" t="n"/>
      <c r="M56" s="17" t="n"/>
      <c r="N56" s="17" t="n"/>
    </row>
    <row r="57">
      <c r="A57" s="17" t="n"/>
      <c r="B57" s="19" t="n"/>
      <c r="C57" s="17" t="n"/>
      <c r="D57" s="17" t="n"/>
      <c r="E57" s="17" t="n"/>
      <c r="F57" s="20" t="n"/>
      <c r="G57" s="20" t="n"/>
      <c r="H57" s="20" t="n"/>
      <c r="I57" s="20" t="n"/>
      <c r="J57" s="20" t="n"/>
      <c r="K57" s="20" t="n"/>
      <c r="L57" s="20" t="n"/>
      <c r="M57" s="17" t="n"/>
      <c r="N57" s="17" t="n"/>
    </row>
    <row r="58">
      <c r="A58" s="17" t="n"/>
      <c r="B58" s="19" t="n"/>
      <c r="C58" s="17" t="n"/>
      <c r="D58" s="17" t="n"/>
      <c r="E58" s="17" t="n"/>
      <c r="F58" s="20" t="n"/>
      <c r="G58" s="20" t="n"/>
      <c r="H58" s="20" t="n"/>
      <c r="I58" s="20" t="n"/>
      <c r="J58" s="20" t="n"/>
      <c r="K58" s="20" t="n"/>
      <c r="L58" s="20" t="n"/>
      <c r="M58" s="17" t="n"/>
      <c r="N58" s="17" t="n"/>
    </row>
    <row r="59">
      <c r="A59" s="17" t="n"/>
      <c r="B59" s="19" t="n"/>
      <c r="C59" s="17" t="n"/>
      <c r="D59" s="17" t="n"/>
      <c r="E59" s="17" t="n"/>
      <c r="F59" s="20" t="n"/>
      <c r="G59" s="20" t="n"/>
      <c r="H59" s="20" t="n"/>
      <c r="I59" s="20" t="n"/>
      <c r="J59" s="20" t="n"/>
      <c r="K59" s="20" t="n"/>
      <c r="L59" s="20" t="n"/>
      <c r="M59" s="17" t="n"/>
      <c r="N59" s="17" t="n"/>
    </row>
    <row r="60">
      <c r="A60" s="17" t="n"/>
      <c r="B60" s="19" t="n"/>
      <c r="C60" s="17" t="n"/>
      <c r="D60" s="17" t="n"/>
      <c r="E60" s="17" t="n"/>
      <c r="F60" s="20" t="n"/>
      <c r="G60" s="20" t="n"/>
      <c r="H60" s="20" t="n"/>
      <c r="I60" s="20" t="n"/>
      <c r="J60" s="20" t="n"/>
      <c r="K60" s="20" t="n"/>
      <c r="L60" s="20" t="n"/>
      <c r="M60" s="17" t="n"/>
      <c r="N60" s="17" t="n"/>
    </row>
    <row r="61">
      <c r="A61" s="17" t="n"/>
      <c r="B61" s="19" t="n"/>
      <c r="C61" s="17" t="n"/>
      <c r="D61" s="17" t="n"/>
      <c r="E61" s="17" t="n"/>
      <c r="F61" s="20" t="n"/>
      <c r="G61" s="20" t="n"/>
      <c r="H61" s="20" t="n"/>
      <c r="I61" s="20" t="n"/>
      <c r="J61" s="20" t="n"/>
      <c r="K61" s="20" t="n"/>
      <c r="L61" s="20" t="n"/>
      <c r="M61" s="17" t="n"/>
      <c r="N61" s="17" t="n"/>
    </row>
    <row r="62">
      <c r="A62" s="17" t="n"/>
      <c r="B62" s="19" t="n"/>
      <c r="C62" s="17" t="n"/>
      <c r="D62" s="17" t="n"/>
      <c r="E62" s="17" t="n"/>
      <c r="F62" s="20" t="n"/>
      <c r="G62" s="20" t="n"/>
      <c r="H62" s="20" t="n"/>
      <c r="I62" s="20" t="n"/>
      <c r="J62" s="20" t="n"/>
      <c r="K62" s="20" t="n"/>
      <c r="L62" s="20" t="n"/>
      <c r="M62" s="17" t="n"/>
      <c r="N62" s="17" t="n"/>
    </row>
    <row r="63">
      <c r="A63" s="17" t="n"/>
      <c r="B63" s="19" t="n"/>
      <c r="C63" s="17" t="n"/>
      <c r="D63" s="17" t="n"/>
      <c r="E63" s="17" t="n"/>
      <c r="F63" s="20" t="n"/>
      <c r="G63" s="20" t="n"/>
      <c r="H63" s="20" t="n"/>
      <c r="I63" s="20" t="n"/>
      <c r="J63" s="20" t="n"/>
      <c r="K63" s="20" t="n"/>
      <c r="L63" s="20" t="n"/>
      <c r="M63" s="17" t="n"/>
      <c r="N63" s="17" t="n"/>
    </row>
    <row r="64">
      <c r="A64" s="17" t="n"/>
      <c r="B64" s="19" t="n"/>
      <c r="C64" s="17" t="n"/>
      <c r="D64" s="17" t="n"/>
      <c r="E64" s="17" t="n"/>
      <c r="F64" s="20" t="n"/>
      <c r="G64" s="20" t="n"/>
      <c r="H64" s="20" t="n"/>
      <c r="I64" s="20" t="n"/>
      <c r="J64" s="20" t="n"/>
      <c r="K64" s="20" t="n"/>
      <c r="L64" s="20" t="n"/>
      <c r="M64" s="17" t="n"/>
      <c r="N64" s="17" t="n"/>
    </row>
    <row r="65">
      <c r="A65" s="17" t="n"/>
      <c r="B65" s="19" t="n"/>
      <c r="C65" s="17" t="n"/>
      <c r="D65" s="17" t="n"/>
      <c r="E65" s="17" t="n"/>
      <c r="F65" s="20" t="n"/>
      <c r="G65" s="20" t="n"/>
      <c r="H65" s="20" t="n"/>
      <c r="I65" s="20" t="n"/>
      <c r="J65" s="20" t="n"/>
      <c r="K65" s="20" t="n"/>
      <c r="L65" s="20" t="n"/>
      <c r="M65" s="17" t="n"/>
      <c r="N65" s="17" t="n"/>
    </row>
    <row r="66">
      <c r="A66" s="17" t="n"/>
      <c r="B66" s="19" t="n"/>
      <c r="C66" s="17" t="n"/>
      <c r="D66" s="17" t="n"/>
      <c r="E66" s="17" t="n"/>
      <c r="F66" s="20" t="n"/>
      <c r="G66" s="20" t="n"/>
      <c r="H66" s="20" t="n"/>
      <c r="I66" s="20" t="n"/>
      <c r="J66" s="20" t="n"/>
      <c r="K66" s="20" t="n"/>
      <c r="L66" s="20" t="n"/>
      <c r="M66" s="17" t="n"/>
      <c r="N66" s="17" t="n"/>
    </row>
    <row r="67">
      <c r="A67" s="17" t="n"/>
      <c r="B67" s="19" t="n"/>
      <c r="C67" s="17" t="n"/>
      <c r="D67" s="17" t="n"/>
      <c r="E67" s="17" t="n"/>
      <c r="F67" s="20" t="n"/>
      <c r="G67" s="20" t="n"/>
      <c r="H67" s="20" t="n"/>
      <c r="I67" s="20" t="n"/>
      <c r="J67" s="20" t="n"/>
      <c r="K67" s="20" t="n"/>
      <c r="L67" s="20" t="n"/>
      <c r="M67" s="17" t="n"/>
      <c r="N67" s="17" t="n"/>
    </row>
    <row r="68">
      <c r="A68" s="17" t="n"/>
      <c r="B68" s="19" t="n"/>
      <c r="C68" s="17" t="n"/>
      <c r="D68" s="17" t="n"/>
      <c r="E68" s="17" t="n"/>
      <c r="F68" s="20" t="n"/>
      <c r="G68" s="20" t="n"/>
      <c r="H68" s="20" t="n"/>
      <c r="I68" s="20" t="n"/>
      <c r="J68" s="20" t="n"/>
      <c r="K68" s="20" t="n"/>
      <c r="L68" s="20" t="n"/>
      <c r="M68" s="17" t="n"/>
      <c r="N68" s="17" t="n"/>
    </row>
    <row r="69">
      <c r="A69" s="17" t="n"/>
      <c r="B69" s="19" t="n"/>
      <c r="C69" s="17" t="n"/>
      <c r="D69" s="17" t="n"/>
      <c r="E69" s="17" t="n"/>
      <c r="F69" s="20" t="n"/>
      <c r="G69" s="20" t="n"/>
      <c r="H69" s="20" t="n"/>
      <c r="I69" s="20" t="n"/>
      <c r="J69" s="20" t="n"/>
      <c r="K69" s="20" t="n"/>
      <c r="L69" s="20" t="n"/>
      <c r="M69" s="17" t="n"/>
      <c r="N69" s="17" t="n"/>
    </row>
    <row r="70">
      <c r="A70" s="17" t="n"/>
      <c r="B70" s="19" t="n"/>
      <c r="C70" s="17" t="n"/>
      <c r="D70" s="17" t="n"/>
      <c r="E70" s="17" t="n"/>
      <c r="F70" s="20" t="n"/>
      <c r="G70" s="20" t="n"/>
      <c r="H70" s="20" t="n"/>
      <c r="I70" s="20" t="n"/>
      <c r="J70" s="20" t="n"/>
      <c r="K70" s="20" t="n"/>
      <c r="L70" s="20" t="n"/>
      <c r="M70" s="17" t="n"/>
      <c r="N70" s="17" t="n"/>
    </row>
    <row r="71">
      <c r="A71" s="17" t="n"/>
      <c r="B71" s="19" t="n"/>
      <c r="C71" s="17" t="n"/>
      <c r="D71" s="17" t="n"/>
      <c r="E71" s="17" t="n"/>
      <c r="F71" s="20" t="n"/>
      <c r="G71" s="20" t="n"/>
      <c r="H71" s="20" t="n"/>
      <c r="I71" s="20" t="n"/>
      <c r="J71" s="20" t="n"/>
      <c r="K71" s="20" t="n"/>
      <c r="L71" s="20" t="n"/>
      <c r="M71" s="17" t="n"/>
      <c r="N71" s="17" t="n"/>
    </row>
    <row r="72">
      <c r="A72" s="17" t="n"/>
      <c r="B72" s="19" t="n"/>
      <c r="C72" s="17" t="n"/>
      <c r="D72" s="17" t="n"/>
      <c r="E72" s="17" t="n"/>
      <c r="F72" s="20" t="n"/>
      <c r="G72" s="20" t="n"/>
      <c r="H72" s="20" t="n"/>
      <c r="I72" s="20" t="n"/>
      <c r="J72" s="20" t="n"/>
      <c r="K72" s="20" t="n"/>
      <c r="L72" s="20" t="n"/>
      <c r="M72" s="17" t="n"/>
      <c r="N72" s="17" t="n"/>
    </row>
    <row r="73">
      <c r="A73" s="17" t="n"/>
      <c r="B73" s="19" t="n"/>
      <c r="C73" s="17" t="n"/>
      <c r="D73" s="17" t="n"/>
      <c r="E73" s="17" t="n"/>
      <c r="F73" s="20" t="n"/>
      <c r="G73" s="20" t="n"/>
      <c r="H73" s="20" t="n"/>
      <c r="I73" s="20" t="n"/>
      <c r="J73" s="20" t="n"/>
      <c r="K73" s="20" t="n"/>
      <c r="L73" s="20" t="n"/>
      <c r="M73" s="17" t="n"/>
      <c r="N73" s="17" t="n"/>
    </row>
    <row r="74">
      <c r="A74" s="17" t="n"/>
      <c r="B74" s="19" t="n"/>
      <c r="C74" s="17" t="n"/>
      <c r="D74" s="17" t="n"/>
      <c r="E74" s="17" t="n"/>
      <c r="F74" s="20" t="n"/>
      <c r="G74" s="20" t="n"/>
      <c r="H74" s="20" t="n"/>
      <c r="I74" s="20" t="n"/>
      <c r="J74" s="20" t="n"/>
      <c r="K74" s="20" t="n"/>
      <c r="L74" s="20" t="n"/>
      <c r="M74" s="17" t="n"/>
      <c r="N74" s="17" t="n"/>
    </row>
    <row r="75">
      <c r="A75" s="17" t="n"/>
      <c r="B75" s="19" t="n"/>
      <c r="C75" s="17" t="n"/>
      <c r="D75" s="17" t="n"/>
      <c r="E75" s="17" t="n"/>
      <c r="F75" s="20" t="n"/>
      <c r="G75" s="20" t="n"/>
      <c r="H75" s="20" t="n"/>
      <c r="I75" s="20" t="n"/>
      <c r="J75" s="20" t="n"/>
      <c r="K75" s="20" t="n"/>
      <c r="L75" s="20" t="n"/>
      <c r="M75" s="17" t="n"/>
      <c r="N75" s="17" t="n"/>
    </row>
    <row r="76">
      <c r="A76" s="17" t="n"/>
      <c r="B76" s="19" t="n"/>
      <c r="C76" s="17" t="n"/>
      <c r="D76" s="17" t="n"/>
      <c r="E76" s="17" t="n"/>
      <c r="F76" s="20" t="n"/>
      <c r="G76" s="20" t="n"/>
      <c r="H76" s="20" t="n"/>
      <c r="I76" s="20" t="n"/>
      <c r="J76" s="20" t="n"/>
      <c r="K76" s="20" t="n"/>
      <c r="L76" s="20" t="n"/>
      <c r="M76" s="17" t="n"/>
      <c r="N76" s="17" t="n"/>
    </row>
    <row r="77">
      <c r="A77" s="17" t="n"/>
      <c r="B77" s="19" t="n"/>
      <c r="C77" s="17" t="n"/>
      <c r="D77" s="17" t="n"/>
      <c r="E77" s="17" t="n"/>
      <c r="F77" s="20" t="n"/>
      <c r="G77" s="20" t="n"/>
      <c r="H77" s="20" t="n"/>
      <c r="I77" s="20" t="n"/>
      <c r="J77" s="20" t="n"/>
      <c r="K77" s="20" t="n"/>
      <c r="L77" s="20" t="n"/>
      <c r="M77" s="17" t="n"/>
      <c r="N77" s="17" t="n"/>
    </row>
    <row r="78">
      <c r="A78" s="17" t="n"/>
      <c r="B78" s="19" t="n"/>
      <c r="C78" s="17" t="n"/>
      <c r="D78" s="17" t="n"/>
      <c r="E78" s="17" t="n"/>
      <c r="F78" s="20" t="n"/>
      <c r="G78" s="20" t="n"/>
      <c r="H78" s="20" t="n"/>
      <c r="I78" s="20" t="n"/>
      <c r="J78" s="20" t="n"/>
      <c r="K78" s="20" t="n"/>
      <c r="L78" s="20" t="n"/>
      <c r="M78" s="17" t="n"/>
      <c r="N78" s="17" t="n"/>
    </row>
    <row r="79">
      <c r="A79" s="17" t="n"/>
      <c r="B79" s="19" t="n"/>
      <c r="C79" s="17" t="n"/>
      <c r="D79" s="17" t="n"/>
      <c r="E79" s="17" t="n"/>
      <c r="F79" s="20" t="n"/>
      <c r="G79" s="20" t="n"/>
      <c r="H79" s="20" t="n"/>
      <c r="I79" s="20" t="n"/>
      <c r="J79" s="20" t="n"/>
      <c r="K79" s="20" t="n"/>
      <c r="L79" s="20" t="n"/>
      <c r="M79" s="17" t="n"/>
      <c r="N79" s="17" t="n"/>
    </row>
    <row r="80">
      <c r="A80" s="17" t="n"/>
      <c r="B80" s="19" t="n"/>
      <c r="C80" s="17" t="n"/>
      <c r="D80" s="17" t="n"/>
      <c r="E80" s="17" t="n"/>
      <c r="F80" s="20" t="n"/>
      <c r="G80" s="20" t="n"/>
      <c r="H80" s="20" t="n"/>
      <c r="I80" s="20" t="n"/>
      <c r="J80" s="20" t="n"/>
      <c r="K80" s="20" t="n"/>
      <c r="L80" s="20" t="n"/>
      <c r="M80" s="17" t="n"/>
      <c r="N80" s="17" t="n"/>
    </row>
    <row r="81">
      <c r="A81" s="17" t="n"/>
      <c r="B81" s="19" t="n"/>
      <c r="C81" s="17" t="n"/>
      <c r="D81" s="17" t="n"/>
      <c r="E81" s="17" t="n"/>
      <c r="F81" s="20" t="n"/>
      <c r="G81" s="20" t="n"/>
      <c r="H81" s="20" t="n"/>
      <c r="I81" s="20" t="n"/>
      <c r="J81" s="20" t="n"/>
      <c r="K81" s="20" t="n"/>
      <c r="L81" s="20" t="n"/>
      <c r="M81" s="17" t="n"/>
      <c r="N81" s="17" t="n"/>
    </row>
    <row r="82">
      <c r="A82" s="17" t="n"/>
      <c r="B82" s="19" t="n"/>
      <c r="C82" s="17" t="n"/>
      <c r="D82" s="17" t="n"/>
      <c r="E82" s="17" t="n"/>
      <c r="F82" s="20" t="n"/>
      <c r="G82" s="20" t="n"/>
      <c r="H82" s="20" t="n"/>
      <c r="I82" s="20" t="n"/>
      <c r="J82" s="20" t="n"/>
      <c r="K82" s="20" t="n"/>
      <c r="L82" s="20" t="n"/>
      <c r="M82" s="17" t="n"/>
      <c r="N82" s="17" t="n"/>
    </row>
    <row r="83">
      <c r="A83" s="17" t="n"/>
      <c r="B83" s="19" t="n"/>
      <c r="C83" s="17" t="n"/>
      <c r="D83" s="17" t="n"/>
      <c r="E83" s="17" t="n"/>
      <c r="F83" s="20" t="n"/>
      <c r="G83" s="20" t="n"/>
      <c r="H83" s="20" t="n"/>
      <c r="I83" s="20" t="n"/>
      <c r="J83" s="20" t="n"/>
      <c r="K83" s="20" t="n"/>
      <c r="L83" s="20" t="n"/>
      <c r="M83" s="17" t="n"/>
      <c r="N83" s="17" t="n"/>
    </row>
    <row r="84">
      <c r="A84" s="17" t="n"/>
      <c r="B84" s="19" t="n"/>
      <c r="C84" s="17" t="n"/>
      <c r="D84" s="17" t="n"/>
      <c r="E84" s="17" t="n"/>
      <c r="F84" s="20" t="n"/>
      <c r="G84" s="20" t="n"/>
      <c r="H84" s="20" t="n"/>
      <c r="I84" s="20" t="n"/>
      <c r="J84" s="20" t="n"/>
      <c r="K84" s="20" t="n"/>
      <c r="L84" s="20" t="n"/>
      <c r="M84" s="17" t="n"/>
      <c r="N84" s="17" t="n"/>
    </row>
    <row r="85">
      <c r="A85" s="17" t="n"/>
      <c r="B85" s="19" t="n"/>
      <c r="C85" s="17" t="n"/>
      <c r="D85" s="17" t="n"/>
      <c r="E85" s="17" t="n"/>
      <c r="F85" s="20" t="n"/>
      <c r="G85" s="20" t="n"/>
      <c r="H85" s="20" t="n"/>
      <c r="I85" s="20" t="n"/>
      <c r="J85" s="20" t="n"/>
      <c r="K85" s="20" t="n"/>
      <c r="L85" s="20" t="n"/>
      <c r="M85" s="17" t="n"/>
      <c r="N85" s="17" t="n"/>
    </row>
    <row r="86">
      <c r="A86" s="17" t="n"/>
      <c r="B86" s="19" t="n"/>
      <c r="C86" s="17" t="n"/>
      <c r="D86" s="17" t="n"/>
      <c r="E86" s="17" t="n"/>
      <c r="F86" s="20" t="n"/>
      <c r="G86" s="20" t="n"/>
      <c r="H86" s="20" t="n"/>
      <c r="I86" s="20" t="n"/>
      <c r="J86" s="20" t="n"/>
      <c r="K86" s="20" t="n"/>
      <c r="L86" s="20" t="n"/>
      <c r="M86" s="17" t="n"/>
      <c r="N86" s="17" t="n"/>
    </row>
    <row r="87">
      <c r="A87" s="17" t="n"/>
      <c r="B87" s="19" t="n"/>
      <c r="C87" s="17" t="n"/>
      <c r="D87" s="17" t="n"/>
      <c r="E87" s="17" t="n"/>
      <c r="F87" s="20" t="n"/>
      <c r="G87" s="20" t="n"/>
      <c r="H87" s="20" t="n"/>
      <c r="I87" s="20" t="n"/>
      <c r="J87" s="20" t="n"/>
      <c r="K87" s="20" t="n"/>
      <c r="L87" s="20" t="n"/>
      <c r="M87" s="17" t="n"/>
      <c r="N87" s="17" t="n"/>
    </row>
    <row r="88">
      <c r="A88" s="17" t="n"/>
      <c r="B88" s="19" t="n"/>
      <c r="C88" s="17" t="n"/>
      <c r="D88" s="17" t="n"/>
      <c r="E88" s="17" t="n"/>
      <c r="F88" s="20" t="n"/>
      <c r="G88" s="20" t="n"/>
      <c r="H88" s="20" t="n"/>
      <c r="I88" s="20" t="n"/>
      <c r="J88" s="20" t="n"/>
      <c r="K88" s="20" t="n"/>
      <c r="L88" s="20" t="n"/>
      <c r="M88" s="17" t="n"/>
      <c r="N88" s="17" t="n"/>
    </row>
    <row r="89">
      <c r="A89" s="17" t="n"/>
      <c r="B89" s="19" t="n"/>
      <c r="C89" s="17" t="n"/>
      <c r="D89" s="17" t="n"/>
      <c r="E89" s="17" t="n"/>
      <c r="F89" s="20" t="n"/>
      <c r="G89" s="20" t="n"/>
      <c r="H89" s="20" t="n"/>
      <c r="I89" s="20" t="n"/>
      <c r="J89" s="20" t="n"/>
      <c r="K89" s="20" t="n"/>
      <c r="L89" s="20" t="n"/>
      <c r="M89" s="17" t="n"/>
      <c r="N89" s="17" t="n"/>
    </row>
    <row r="90">
      <c r="A90" s="17" t="n"/>
      <c r="B90" s="19" t="n"/>
      <c r="C90" s="17" t="n"/>
      <c r="D90" s="17" t="n"/>
      <c r="E90" s="17" t="n"/>
      <c r="F90" s="20" t="n"/>
      <c r="G90" s="20" t="n"/>
      <c r="H90" s="20" t="n"/>
      <c r="I90" s="20" t="n"/>
      <c r="J90" s="20" t="n"/>
      <c r="K90" s="20" t="n"/>
      <c r="L90" s="20" t="n"/>
      <c r="M90" s="17" t="n"/>
      <c r="N90" s="17" t="n"/>
    </row>
    <row r="91">
      <c r="A91" s="17" t="n"/>
      <c r="B91" s="19" t="n"/>
      <c r="C91" s="17" t="n"/>
      <c r="D91" s="17" t="n"/>
      <c r="E91" s="17" t="n"/>
      <c r="F91" s="20" t="n"/>
      <c r="G91" s="20" t="n"/>
      <c r="H91" s="20" t="n"/>
      <c r="I91" s="20" t="n"/>
      <c r="J91" s="20" t="n"/>
      <c r="K91" s="20" t="n"/>
      <c r="L91" s="20" t="n"/>
      <c r="M91" s="17" t="n"/>
      <c r="N91" s="17" t="n"/>
    </row>
    <row r="92">
      <c r="A92" s="17" t="n"/>
      <c r="B92" s="19" t="n"/>
      <c r="C92" s="17" t="n"/>
      <c r="D92" s="17" t="n"/>
      <c r="E92" s="17" t="n"/>
      <c r="F92" s="20" t="n"/>
      <c r="G92" s="20" t="n"/>
      <c r="H92" s="20" t="n"/>
      <c r="I92" s="20" t="n"/>
      <c r="J92" s="20" t="n"/>
      <c r="K92" s="20" t="n"/>
      <c r="L92" s="20" t="n"/>
      <c r="M92" s="17" t="n"/>
      <c r="N92" s="17" t="n"/>
    </row>
    <row r="93">
      <c r="A93" s="17" t="n"/>
      <c r="B93" s="19" t="n"/>
      <c r="C93" s="17" t="n"/>
      <c r="D93" s="17" t="n"/>
      <c r="E93" s="17" t="n"/>
      <c r="F93" s="20" t="n"/>
      <c r="G93" s="20" t="n"/>
      <c r="H93" s="20" t="n"/>
      <c r="I93" s="20" t="n"/>
      <c r="J93" s="20" t="n"/>
      <c r="K93" s="20" t="n"/>
      <c r="L93" s="20" t="n"/>
      <c r="M93" s="17" t="n"/>
      <c r="N93" s="17" t="n"/>
    </row>
    <row r="94">
      <c r="A94" s="17" t="n"/>
      <c r="B94" s="19" t="n"/>
      <c r="C94" s="17" t="n"/>
      <c r="D94" s="17" t="n"/>
      <c r="E94" s="17" t="n"/>
      <c r="F94" s="20" t="n"/>
      <c r="G94" s="20" t="n"/>
      <c r="H94" s="20" t="n"/>
      <c r="I94" s="20" t="n"/>
      <c r="J94" s="20" t="n"/>
      <c r="K94" s="20" t="n"/>
      <c r="L94" s="20" t="n"/>
      <c r="M94" s="17" t="n"/>
      <c r="N94" s="17" t="n"/>
    </row>
    <row r="95">
      <c r="A95" s="17" t="n"/>
      <c r="B95" s="19" t="n"/>
      <c r="C95" s="17" t="n"/>
      <c r="D95" s="17" t="n"/>
      <c r="E95" s="17" t="n"/>
      <c r="F95" s="20" t="n"/>
      <c r="G95" s="20" t="n"/>
      <c r="H95" s="20" t="n"/>
      <c r="I95" s="20" t="n"/>
      <c r="J95" s="20" t="n"/>
      <c r="K95" s="20" t="n"/>
      <c r="L95" s="20" t="n"/>
      <c r="M95" s="17" t="n"/>
      <c r="N95" s="17" t="n"/>
    </row>
    <row r="96">
      <c r="A96" s="17" t="n"/>
      <c r="B96" s="19" t="n"/>
      <c r="C96" s="17" t="n"/>
      <c r="D96" s="17" t="n"/>
      <c r="E96" s="17" t="n"/>
      <c r="F96" s="20" t="n"/>
      <c r="G96" s="20" t="n"/>
      <c r="H96" s="20" t="n"/>
      <c r="I96" s="20" t="n"/>
      <c r="J96" s="20" t="n"/>
      <c r="K96" s="20" t="n"/>
      <c r="L96" s="20" t="n"/>
      <c r="M96" s="17" t="n"/>
      <c r="N96" s="17" t="n"/>
    </row>
    <row r="97">
      <c r="A97" s="17" t="n"/>
      <c r="B97" s="19" t="n"/>
      <c r="C97" s="17" t="n"/>
      <c r="D97" s="17" t="n"/>
      <c r="E97" s="17" t="n"/>
      <c r="F97" s="20" t="n"/>
      <c r="G97" s="20" t="n"/>
      <c r="H97" s="20" t="n"/>
      <c r="I97" s="20" t="n"/>
      <c r="J97" s="20" t="n"/>
      <c r="K97" s="20" t="n"/>
      <c r="L97" s="20" t="n"/>
      <c r="M97" s="17" t="n"/>
      <c r="N97" s="17" t="n"/>
    </row>
    <row r="98">
      <c r="A98" s="17" t="n"/>
      <c r="B98" s="19" t="n"/>
      <c r="C98" s="17" t="n"/>
      <c r="D98" s="17" t="n"/>
      <c r="E98" s="17" t="n"/>
      <c r="F98" s="20" t="n"/>
      <c r="G98" s="20" t="n"/>
      <c r="H98" s="20" t="n"/>
      <c r="I98" s="20" t="n"/>
      <c r="J98" s="20" t="n"/>
      <c r="K98" s="20" t="n"/>
      <c r="L98" s="20" t="n"/>
      <c r="M98" s="17" t="n"/>
      <c r="N98" s="17" t="n"/>
    </row>
    <row r="99">
      <c r="A99" s="17" t="n"/>
      <c r="B99" s="19" t="n"/>
      <c r="C99" s="17" t="n"/>
      <c r="D99" s="17" t="n"/>
      <c r="E99" s="17" t="n"/>
      <c r="F99" s="20" t="n"/>
      <c r="G99" s="20" t="n"/>
      <c r="H99" s="20" t="n"/>
      <c r="I99" s="20" t="n"/>
      <c r="J99" s="20" t="n"/>
      <c r="K99" s="20" t="n"/>
      <c r="L99" s="20" t="n"/>
      <c r="M99" s="17" t="n"/>
      <c r="N99" s="17" t="n"/>
    </row>
    <row r="100">
      <c r="A100" s="17" t="n"/>
      <c r="B100" s="19" t="n"/>
      <c r="C100" s="17" t="n"/>
      <c r="D100" s="17" t="n"/>
      <c r="E100" s="17" t="n"/>
      <c r="F100" s="20" t="n"/>
      <c r="G100" s="20" t="n"/>
      <c r="H100" s="20" t="n"/>
      <c r="I100" s="20" t="n"/>
      <c r="J100" s="20" t="n"/>
      <c r="K100" s="20" t="n"/>
      <c r="L100" s="20" t="n"/>
      <c r="M100" s="17" t="n"/>
      <c r="N100" s="17" t="n"/>
    </row>
    <row r="101">
      <c r="A101" s="17" t="n"/>
      <c r="B101" s="19" t="n"/>
      <c r="C101" s="17" t="n"/>
      <c r="D101" s="17" t="n"/>
      <c r="E101" s="17" t="n"/>
      <c r="F101" s="20" t="n"/>
      <c r="G101" s="20" t="n"/>
      <c r="H101" s="20" t="n"/>
      <c r="I101" s="20" t="n"/>
      <c r="J101" s="20" t="n"/>
      <c r="K101" s="20" t="n"/>
      <c r="L101" s="20" t="n"/>
      <c r="M101" s="17" t="n"/>
      <c r="N101" s="17" t="n"/>
    </row>
    <row r="102">
      <c r="A102" s="17" t="n"/>
      <c r="B102" s="19" t="n"/>
      <c r="C102" s="17" t="n"/>
      <c r="D102" s="17" t="n"/>
      <c r="E102" s="17" t="n"/>
      <c r="F102" s="20" t="n"/>
      <c r="G102" s="20" t="n"/>
      <c r="H102" s="20" t="n"/>
      <c r="I102" s="20" t="n"/>
      <c r="J102" s="20" t="n"/>
      <c r="K102" s="20" t="n"/>
      <c r="L102" s="20" t="n"/>
      <c r="M102" s="17" t="n"/>
      <c r="N102" s="17" t="n"/>
    </row>
    <row r="103">
      <c r="A103" s="17" t="n"/>
      <c r="B103" s="19" t="n"/>
      <c r="C103" s="17" t="n"/>
      <c r="D103" s="17" t="n"/>
      <c r="E103" s="17" t="n"/>
      <c r="F103" s="20" t="n"/>
      <c r="G103" s="20" t="n"/>
      <c r="H103" s="20" t="n"/>
      <c r="I103" s="20" t="n"/>
      <c r="J103" s="20" t="n"/>
      <c r="K103" s="20" t="n"/>
      <c r="L103" s="20" t="n"/>
      <c r="M103" s="17" t="n"/>
      <c r="N103" s="17" t="n"/>
    </row>
    <row r="104">
      <c r="A104" s="17" t="n"/>
      <c r="B104" s="19" t="n"/>
      <c r="C104" s="17" t="n"/>
      <c r="D104" s="17" t="n"/>
      <c r="E104" s="17" t="n"/>
      <c r="F104" s="20" t="n"/>
      <c r="G104" s="20" t="n"/>
      <c r="H104" s="20" t="n"/>
      <c r="I104" s="20" t="n"/>
      <c r="J104" s="20" t="n"/>
      <c r="K104" s="20" t="n"/>
      <c r="L104" s="20" t="n"/>
      <c r="M104" s="17" t="n"/>
      <c r="N104" s="17" t="n"/>
    </row>
    <row r="105">
      <c r="A105" s="17" t="n"/>
      <c r="B105" s="19" t="n"/>
      <c r="C105" s="17" t="n"/>
      <c r="D105" s="17" t="n"/>
      <c r="E105" s="17" t="n"/>
      <c r="F105" s="20" t="n"/>
      <c r="G105" s="20" t="n"/>
      <c r="H105" s="20" t="n"/>
      <c r="I105" s="20" t="n"/>
      <c r="J105" s="20" t="n"/>
      <c r="K105" s="20" t="n"/>
      <c r="L105" s="20" t="n"/>
      <c r="M105" s="17" t="n"/>
      <c r="N105" s="17" t="n"/>
    </row>
    <row r="106">
      <c r="A106" s="17" t="n"/>
      <c r="B106" s="19" t="n"/>
      <c r="C106" s="17" t="n"/>
      <c r="D106" s="17" t="n"/>
      <c r="E106" s="17" t="n"/>
      <c r="F106" s="20" t="n"/>
      <c r="G106" s="20" t="n"/>
      <c r="H106" s="20" t="n"/>
      <c r="I106" s="20" t="n"/>
      <c r="J106" s="20" t="n"/>
      <c r="K106" s="20" t="n"/>
      <c r="L106" s="20" t="n"/>
      <c r="M106" s="17" t="n"/>
      <c r="N106" s="17" t="n"/>
    </row>
    <row r="107">
      <c r="A107" s="17" t="n"/>
      <c r="B107" s="19" t="n"/>
      <c r="C107" s="17" t="n"/>
      <c r="D107" s="17" t="n"/>
      <c r="E107" s="17" t="n"/>
      <c r="F107" s="20" t="n"/>
      <c r="G107" s="20" t="n"/>
      <c r="H107" s="20" t="n"/>
      <c r="I107" s="20" t="n"/>
      <c r="J107" s="20" t="n"/>
      <c r="K107" s="20" t="n"/>
      <c r="L107" s="20" t="n"/>
      <c r="M107" s="17" t="n"/>
      <c r="N107" s="17" t="n"/>
    </row>
    <row r="108">
      <c r="A108" s="17" t="n"/>
      <c r="B108" s="19" t="n"/>
      <c r="C108" s="17" t="n"/>
      <c r="D108" s="17" t="n"/>
      <c r="E108" s="17" t="n"/>
      <c r="F108" s="20" t="n"/>
      <c r="G108" s="20" t="n"/>
      <c r="H108" s="20" t="n"/>
      <c r="I108" s="20" t="n"/>
      <c r="J108" s="20" t="n"/>
      <c r="K108" s="20" t="n"/>
      <c r="L108" s="20" t="n"/>
      <c r="M108" s="17" t="n"/>
      <c r="N108" s="17" t="n"/>
    </row>
    <row r="109">
      <c r="A109" s="17" t="n"/>
      <c r="B109" s="19" t="n"/>
      <c r="C109" s="17" t="n"/>
      <c r="D109" s="17" t="n"/>
      <c r="E109" s="17" t="n"/>
      <c r="F109" s="20" t="n"/>
      <c r="G109" s="20" t="n"/>
      <c r="H109" s="20" t="n"/>
      <c r="I109" s="20" t="n"/>
      <c r="J109" s="20" t="n"/>
      <c r="K109" s="20" t="n"/>
      <c r="L109" s="20" t="n"/>
      <c r="M109" s="17" t="n"/>
      <c r="N109" s="17" t="n"/>
    </row>
    <row r="110">
      <c r="A110" s="17" t="n"/>
      <c r="B110" s="19" t="n"/>
      <c r="C110" s="17" t="n"/>
      <c r="D110" s="17" t="n"/>
      <c r="E110" s="17" t="n"/>
      <c r="F110" s="20" t="n"/>
      <c r="G110" s="20" t="n"/>
      <c r="H110" s="20" t="n"/>
      <c r="I110" s="20" t="n"/>
      <c r="J110" s="20" t="n"/>
      <c r="K110" s="20" t="n"/>
      <c r="L110" s="20" t="n"/>
      <c r="M110" s="17" t="n"/>
      <c r="N110" s="17" t="n"/>
    </row>
    <row r="111">
      <c r="A111" s="17" t="n"/>
      <c r="B111" s="19" t="n"/>
      <c r="C111" s="17" t="n"/>
      <c r="D111" s="17" t="n"/>
      <c r="E111" s="17" t="n"/>
      <c r="F111" s="20" t="n"/>
      <c r="G111" s="20" t="n"/>
      <c r="H111" s="20" t="n"/>
      <c r="I111" s="20" t="n"/>
      <c r="J111" s="20" t="n"/>
      <c r="K111" s="20" t="n"/>
      <c r="L111" s="20" t="n"/>
      <c r="M111" s="17" t="n"/>
      <c r="N111" s="17" t="n"/>
    </row>
    <row r="112">
      <c r="A112" s="17" t="n"/>
      <c r="B112" s="19" t="n"/>
      <c r="C112" s="17" t="n"/>
      <c r="D112" s="17" t="n"/>
      <c r="E112" s="17" t="n"/>
      <c r="F112" s="20" t="n"/>
      <c r="G112" s="20" t="n"/>
      <c r="H112" s="20" t="n"/>
      <c r="I112" s="20" t="n"/>
      <c r="J112" s="20" t="n"/>
      <c r="K112" s="20" t="n"/>
      <c r="L112" s="20" t="n"/>
      <c r="M112" s="17" t="n"/>
      <c r="N112" s="17" t="n"/>
    </row>
    <row r="113">
      <c r="A113" s="17" t="n"/>
      <c r="B113" s="19" t="n"/>
      <c r="C113" s="17" t="n"/>
      <c r="D113" s="17" t="n"/>
      <c r="E113" s="17" t="n"/>
      <c r="F113" s="20" t="n"/>
      <c r="G113" s="20" t="n"/>
      <c r="H113" s="20" t="n"/>
      <c r="I113" s="20" t="n"/>
      <c r="J113" s="20" t="n"/>
      <c r="K113" s="20" t="n"/>
      <c r="L113" s="20" t="n"/>
      <c r="M113" s="17" t="n"/>
      <c r="N113" s="17" t="n"/>
    </row>
    <row r="114">
      <c r="A114" s="17" t="n"/>
      <c r="B114" s="19" t="n"/>
      <c r="C114" s="17" t="n"/>
      <c r="D114" s="17" t="n"/>
      <c r="E114" s="17" t="n"/>
      <c r="F114" s="20" t="n"/>
      <c r="G114" s="20" t="n"/>
      <c r="H114" s="20" t="n"/>
      <c r="I114" s="20" t="n"/>
      <c r="J114" s="20" t="n"/>
      <c r="K114" s="20" t="n"/>
      <c r="L114" s="20" t="n"/>
      <c r="M114" s="17" t="n"/>
      <c r="N114" s="17" t="n"/>
    </row>
    <row r="115">
      <c r="A115" s="17" t="n"/>
      <c r="B115" s="19" t="n"/>
      <c r="C115" s="17" t="n"/>
      <c r="D115" s="17" t="n"/>
      <c r="E115" s="17" t="n"/>
      <c r="F115" s="20" t="n"/>
      <c r="G115" s="20" t="n"/>
      <c r="H115" s="20" t="n"/>
      <c r="I115" s="20" t="n"/>
      <c r="J115" s="20" t="n"/>
      <c r="K115" s="20" t="n"/>
      <c r="L115" s="20" t="n"/>
      <c r="M115" s="17" t="n"/>
      <c r="N115" s="17" t="n"/>
    </row>
    <row r="116">
      <c r="A116" s="17" t="n"/>
      <c r="B116" s="19" t="n"/>
      <c r="C116" s="17" t="n"/>
      <c r="D116" s="17" t="n"/>
      <c r="E116" s="17" t="n"/>
      <c r="F116" s="20" t="n"/>
      <c r="G116" s="20" t="n"/>
      <c r="H116" s="20" t="n"/>
      <c r="I116" s="20" t="n"/>
      <c r="J116" s="20" t="n"/>
      <c r="K116" s="20" t="n"/>
      <c r="L116" s="20" t="n"/>
      <c r="M116" s="17" t="n"/>
      <c r="N116" s="17" t="n"/>
    </row>
    <row r="117">
      <c r="A117" s="17" t="n"/>
      <c r="B117" s="19" t="n"/>
      <c r="C117" s="17" t="n"/>
      <c r="D117" s="17" t="n"/>
      <c r="E117" s="17" t="n"/>
      <c r="F117" s="20" t="n"/>
      <c r="G117" s="20" t="n"/>
      <c r="H117" s="20" t="n"/>
      <c r="I117" s="20" t="n"/>
      <c r="J117" s="20" t="n"/>
      <c r="K117" s="20" t="n"/>
      <c r="L117" s="20" t="n"/>
      <c r="M117" s="17" t="n"/>
      <c r="N117" s="17" t="n"/>
    </row>
    <row r="118">
      <c r="A118" s="17" t="n"/>
      <c r="B118" s="19" t="n"/>
      <c r="C118" s="17" t="n"/>
      <c r="D118" s="17" t="n"/>
      <c r="E118" s="17" t="n"/>
      <c r="F118" s="20" t="n"/>
      <c r="G118" s="20" t="n"/>
      <c r="H118" s="20" t="n"/>
      <c r="I118" s="20" t="n"/>
      <c r="J118" s="20" t="n"/>
      <c r="K118" s="20" t="n"/>
      <c r="L118" s="20" t="n"/>
      <c r="M118" s="17" t="n"/>
      <c r="N118" s="17" t="n"/>
    </row>
    <row r="119">
      <c r="A119" s="17" t="n"/>
      <c r="B119" s="19" t="n"/>
      <c r="C119" s="17" t="n"/>
      <c r="D119" s="17" t="n"/>
      <c r="E119" s="17" t="n"/>
      <c r="F119" s="20" t="n"/>
      <c r="G119" s="20" t="n"/>
      <c r="H119" s="20" t="n"/>
      <c r="I119" s="20" t="n"/>
      <c r="J119" s="20" t="n"/>
      <c r="K119" s="20" t="n"/>
      <c r="L119" s="20" t="n"/>
      <c r="M119" s="17" t="n"/>
      <c r="N119" s="17" t="n"/>
    </row>
    <row r="120">
      <c r="A120" s="17" t="n"/>
      <c r="B120" s="19" t="n"/>
      <c r="C120" s="17" t="n"/>
      <c r="D120" s="17" t="n"/>
      <c r="E120" s="17" t="n"/>
      <c r="F120" s="20" t="n"/>
      <c r="G120" s="20" t="n"/>
      <c r="H120" s="20" t="n"/>
      <c r="I120" s="20" t="n"/>
      <c r="J120" s="20" t="n"/>
      <c r="K120" s="20" t="n"/>
      <c r="L120" s="20" t="n"/>
      <c r="M120" s="17" t="n"/>
      <c r="N120" s="17" t="n"/>
    </row>
    <row r="121">
      <c r="A121" s="17" t="n"/>
      <c r="B121" s="19" t="n"/>
      <c r="C121" s="17" t="n"/>
      <c r="D121" s="17" t="n"/>
      <c r="E121" s="17" t="n"/>
      <c r="F121" s="20" t="n"/>
      <c r="G121" s="20" t="n"/>
      <c r="H121" s="20" t="n"/>
      <c r="I121" s="20" t="n"/>
      <c r="J121" s="20" t="n"/>
      <c r="K121" s="20" t="n"/>
      <c r="L121" s="20" t="n"/>
      <c r="M121" s="17" t="n"/>
      <c r="N121" s="17" t="n"/>
    </row>
    <row r="122">
      <c r="A122" s="17" t="n"/>
      <c r="B122" s="19" t="n"/>
      <c r="C122" s="17" t="n"/>
      <c r="D122" s="17" t="n"/>
      <c r="E122" s="17" t="n"/>
      <c r="F122" s="20" t="n"/>
      <c r="G122" s="20" t="n"/>
      <c r="H122" s="20" t="n"/>
      <c r="I122" s="20" t="n"/>
      <c r="J122" s="20" t="n"/>
      <c r="K122" s="20" t="n"/>
      <c r="L122" s="20" t="n"/>
      <c r="M122" s="17" t="n"/>
      <c r="N122" s="17" t="n"/>
    </row>
    <row r="123">
      <c r="A123" s="17" t="n"/>
      <c r="B123" s="19" t="n"/>
      <c r="C123" s="17" t="n"/>
      <c r="D123" s="17" t="n"/>
      <c r="E123" s="17" t="n"/>
      <c r="F123" s="20" t="n"/>
      <c r="G123" s="20" t="n"/>
      <c r="H123" s="20" t="n"/>
      <c r="I123" s="20" t="n"/>
      <c r="J123" s="20" t="n"/>
      <c r="K123" s="20" t="n"/>
      <c r="L123" s="20" t="n"/>
      <c r="M123" s="17" t="n"/>
      <c r="N123" s="17" t="n"/>
    </row>
    <row r="124">
      <c r="A124" s="17" t="n"/>
      <c r="B124" s="19" t="n"/>
      <c r="C124" s="17" t="n"/>
      <c r="D124" s="17" t="n"/>
      <c r="E124" s="17" t="n"/>
      <c r="F124" s="20" t="n"/>
      <c r="G124" s="20" t="n"/>
      <c r="H124" s="20" t="n"/>
      <c r="I124" s="20" t="n"/>
      <c r="J124" s="20" t="n"/>
      <c r="K124" s="20" t="n"/>
      <c r="L124" s="20" t="n"/>
      <c r="M124" s="17" t="n"/>
      <c r="N124" s="17" t="n"/>
    </row>
    <row r="125">
      <c r="A125" s="17" t="n"/>
      <c r="B125" s="19" t="n"/>
      <c r="C125" s="17" t="n"/>
      <c r="D125" s="17" t="n"/>
      <c r="E125" s="17" t="n"/>
      <c r="F125" s="20" t="n"/>
      <c r="G125" s="20" t="n"/>
      <c r="H125" s="20" t="n"/>
      <c r="I125" s="20" t="n"/>
      <c r="J125" s="20" t="n"/>
      <c r="K125" s="20" t="n"/>
      <c r="L125" s="20" t="n"/>
      <c r="M125" s="17" t="n"/>
      <c r="N125" s="17" t="n"/>
    </row>
    <row r="126">
      <c r="A126" s="17" t="n"/>
      <c r="B126" s="19" t="n"/>
      <c r="C126" s="17" t="n"/>
      <c r="D126" s="17" t="n"/>
      <c r="E126" s="17" t="n"/>
      <c r="F126" s="20" t="n"/>
      <c r="G126" s="20" t="n"/>
      <c r="H126" s="20" t="n"/>
      <c r="I126" s="20" t="n"/>
      <c r="J126" s="20" t="n"/>
      <c r="K126" s="20" t="n"/>
      <c r="L126" s="20" t="n"/>
      <c r="M126" s="17" t="n"/>
      <c r="N126" s="17" t="n"/>
    </row>
    <row r="127">
      <c r="A127" s="17" t="n"/>
      <c r="B127" s="19" t="n"/>
      <c r="C127" s="17" t="n"/>
      <c r="D127" s="17" t="n"/>
      <c r="E127" s="17" t="n"/>
      <c r="F127" s="20" t="n"/>
      <c r="G127" s="20" t="n"/>
      <c r="H127" s="20" t="n"/>
      <c r="I127" s="20" t="n"/>
      <c r="J127" s="20" t="n"/>
      <c r="K127" s="20" t="n"/>
      <c r="L127" s="20" t="n"/>
      <c r="M127" s="17" t="n"/>
      <c r="N127" s="17" t="n"/>
    </row>
    <row r="128">
      <c r="A128" s="17" t="n"/>
      <c r="B128" s="19" t="n"/>
      <c r="C128" s="17" t="n"/>
      <c r="D128" s="17" t="n"/>
      <c r="E128" s="17" t="n"/>
      <c r="F128" s="20" t="n"/>
      <c r="G128" s="20" t="n"/>
      <c r="H128" s="20" t="n"/>
      <c r="I128" s="20" t="n"/>
      <c r="J128" s="20" t="n"/>
      <c r="K128" s="20" t="n"/>
      <c r="L128" s="20" t="n"/>
      <c r="M128" s="17" t="n"/>
      <c r="N128" s="17" t="n"/>
    </row>
    <row r="129">
      <c r="A129" s="17" t="n"/>
      <c r="B129" s="19" t="n"/>
      <c r="C129" s="17" t="n"/>
      <c r="D129" s="17" t="n"/>
      <c r="E129" s="17" t="n"/>
      <c r="F129" s="20" t="n"/>
      <c r="G129" s="20" t="n"/>
      <c r="H129" s="20" t="n"/>
      <c r="I129" s="20" t="n"/>
      <c r="J129" s="20" t="n"/>
      <c r="K129" s="20" t="n"/>
      <c r="L129" s="20" t="n"/>
      <c r="M129" s="17" t="n"/>
      <c r="N129" s="17" t="n"/>
    </row>
    <row r="130">
      <c r="A130" s="17" t="n"/>
      <c r="B130" s="19" t="n"/>
      <c r="C130" s="17" t="n"/>
      <c r="D130" s="17" t="n"/>
      <c r="E130" s="17" t="n"/>
      <c r="F130" s="20" t="n"/>
      <c r="G130" s="20" t="n"/>
      <c r="H130" s="20" t="n"/>
      <c r="I130" s="20" t="n"/>
      <c r="J130" s="20" t="n"/>
      <c r="K130" s="20" t="n"/>
      <c r="L130" s="20" t="n"/>
      <c r="M130" s="17" t="n"/>
      <c r="N130" s="17" t="n"/>
    </row>
    <row r="131">
      <c r="A131" s="17" t="n"/>
      <c r="B131" s="19" t="n"/>
      <c r="C131" s="17" t="n"/>
      <c r="D131" s="17" t="n"/>
      <c r="E131" s="17" t="n"/>
      <c r="F131" s="20" t="n"/>
      <c r="G131" s="20" t="n"/>
      <c r="H131" s="20" t="n"/>
      <c r="I131" s="20" t="n"/>
      <c r="J131" s="20" t="n"/>
      <c r="K131" s="20" t="n"/>
      <c r="L131" s="20" t="n"/>
      <c r="M131" s="17" t="n"/>
      <c r="N131" s="17" t="n"/>
    </row>
    <row r="132">
      <c r="A132" s="17" t="n"/>
      <c r="B132" s="19" t="n"/>
      <c r="C132" s="17" t="n"/>
      <c r="D132" s="17" t="n"/>
      <c r="E132" s="17" t="n"/>
      <c r="F132" s="20" t="n"/>
      <c r="G132" s="20" t="n"/>
      <c r="H132" s="20" t="n"/>
      <c r="I132" s="20" t="n"/>
      <c r="J132" s="20" t="n"/>
      <c r="K132" s="20" t="n"/>
      <c r="L132" s="20" t="n"/>
      <c r="M132" s="17" t="n"/>
      <c r="N132" s="17" t="n"/>
    </row>
    <row r="133">
      <c r="A133" s="17" t="n"/>
      <c r="B133" s="19" t="n"/>
      <c r="C133" s="17" t="n"/>
      <c r="D133" s="17" t="n"/>
      <c r="E133" s="17" t="n"/>
      <c r="F133" s="20" t="n"/>
      <c r="G133" s="20" t="n"/>
      <c r="H133" s="20" t="n"/>
      <c r="I133" s="20" t="n"/>
      <c r="J133" s="20" t="n"/>
      <c r="K133" s="20" t="n"/>
      <c r="L133" s="20" t="n"/>
      <c r="M133" s="17" t="n"/>
      <c r="N133" s="17" t="n"/>
    </row>
    <row r="134">
      <c r="A134" s="17" t="n"/>
      <c r="B134" s="19" t="n"/>
      <c r="C134" s="17" t="n"/>
      <c r="D134" s="17" t="n"/>
      <c r="E134" s="17" t="n"/>
      <c r="F134" s="20" t="n"/>
      <c r="G134" s="20" t="n"/>
      <c r="H134" s="20" t="n"/>
      <c r="I134" s="20" t="n"/>
      <c r="J134" s="20" t="n"/>
      <c r="K134" s="20" t="n"/>
      <c r="L134" s="20" t="n"/>
      <c r="M134" s="17" t="n"/>
      <c r="N134" s="17" t="n"/>
    </row>
    <row r="135">
      <c r="A135" s="17" t="n"/>
      <c r="B135" s="19" t="n"/>
      <c r="C135" s="17" t="n"/>
      <c r="D135" s="17" t="n"/>
      <c r="E135" s="17" t="n"/>
      <c r="F135" s="20" t="n"/>
      <c r="G135" s="20" t="n"/>
      <c r="H135" s="20" t="n"/>
      <c r="I135" s="20" t="n"/>
      <c r="J135" s="20" t="n"/>
      <c r="K135" s="20" t="n"/>
      <c r="L135" s="20" t="n"/>
      <c r="M135" s="17" t="n"/>
      <c r="N135" s="17" t="n"/>
    </row>
    <row r="136">
      <c r="A136" s="17" t="n"/>
      <c r="B136" s="19" t="n"/>
      <c r="C136" s="17" t="n"/>
      <c r="D136" s="17" t="n"/>
      <c r="E136" s="17" t="n"/>
      <c r="F136" s="20" t="n"/>
      <c r="G136" s="20" t="n"/>
      <c r="H136" s="20" t="n"/>
      <c r="I136" s="20" t="n"/>
      <c r="J136" s="20" t="n"/>
      <c r="K136" s="20" t="n"/>
      <c r="L136" s="20" t="n"/>
      <c r="M136" s="17" t="n"/>
      <c r="N136" s="17" t="n"/>
    </row>
    <row r="137">
      <c r="A137" s="17" t="n"/>
      <c r="B137" s="19" t="n"/>
      <c r="C137" s="17" t="n"/>
      <c r="D137" s="17" t="n"/>
      <c r="E137" s="17" t="n"/>
      <c r="F137" s="20" t="n"/>
      <c r="G137" s="20" t="n"/>
      <c r="H137" s="20" t="n"/>
      <c r="I137" s="20" t="n"/>
      <c r="J137" s="20" t="n"/>
      <c r="K137" s="20" t="n"/>
      <c r="L137" s="20" t="n"/>
      <c r="M137" s="17" t="n"/>
      <c r="N137" s="17" t="n"/>
    </row>
    <row r="138">
      <c r="A138" s="17" t="n"/>
      <c r="B138" s="19" t="n"/>
      <c r="C138" s="17" t="n"/>
      <c r="D138" s="17" t="n"/>
      <c r="E138" s="17" t="n"/>
      <c r="F138" s="20" t="n"/>
      <c r="G138" s="20" t="n"/>
      <c r="H138" s="20" t="n"/>
      <c r="I138" s="20" t="n"/>
      <c r="J138" s="20" t="n"/>
      <c r="K138" s="20" t="n"/>
      <c r="L138" s="20" t="n"/>
      <c r="M138" s="17" t="n"/>
      <c r="N138" s="17" t="n"/>
    </row>
    <row r="139">
      <c r="A139" s="17" t="n"/>
      <c r="B139" s="19" t="n"/>
      <c r="C139" s="17" t="n"/>
      <c r="D139" s="17" t="n"/>
      <c r="E139" s="17" t="n"/>
      <c r="F139" s="20" t="n"/>
      <c r="G139" s="20" t="n"/>
      <c r="H139" s="20" t="n"/>
      <c r="I139" s="20" t="n"/>
      <c r="J139" s="20" t="n"/>
      <c r="K139" s="20" t="n"/>
      <c r="L139" s="20" t="n"/>
      <c r="M139" s="17" t="n"/>
      <c r="N139" s="17" t="n"/>
    </row>
    <row r="140">
      <c r="A140" s="17" t="n"/>
      <c r="B140" s="19" t="n"/>
      <c r="C140" s="17" t="n"/>
      <c r="D140" s="17" t="n"/>
      <c r="E140" s="17" t="n"/>
      <c r="F140" s="20" t="n"/>
      <c r="G140" s="20" t="n"/>
      <c r="H140" s="20" t="n"/>
      <c r="I140" s="20" t="n"/>
      <c r="J140" s="20" t="n"/>
      <c r="K140" s="20" t="n"/>
      <c r="L140" s="20" t="n"/>
      <c r="M140" s="17" t="n"/>
      <c r="N140" s="17" t="n"/>
    </row>
    <row r="141">
      <c r="A141" s="17" t="n"/>
      <c r="B141" s="19" t="n"/>
      <c r="C141" s="17" t="n"/>
      <c r="D141" s="17" t="n"/>
      <c r="E141" s="17" t="n"/>
      <c r="F141" s="20" t="n"/>
      <c r="G141" s="20" t="n"/>
      <c r="H141" s="20" t="n"/>
      <c r="I141" s="20" t="n"/>
      <c r="J141" s="20" t="n"/>
      <c r="K141" s="20" t="n"/>
      <c r="L141" s="20" t="n"/>
      <c r="M141" s="17" t="n"/>
      <c r="N141" s="17" t="n"/>
    </row>
    <row r="142">
      <c r="A142" s="17" t="n"/>
      <c r="B142" s="19" t="n"/>
      <c r="C142" s="17" t="n"/>
      <c r="D142" s="17" t="n"/>
      <c r="E142" s="17" t="n"/>
      <c r="F142" s="20" t="n"/>
      <c r="G142" s="20" t="n"/>
      <c r="H142" s="20" t="n"/>
      <c r="I142" s="20" t="n"/>
      <c r="J142" s="20" t="n"/>
      <c r="K142" s="20" t="n"/>
      <c r="L142" s="20" t="n"/>
      <c r="M142" s="17" t="n"/>
      <c r="N142" s="17" t="n"/>
    </row>
    <row r="143">
      <c r="A143" s="17" t="n"/>
      <c r="B143" s="19" t="n"/>
      <c r="C143" s="17" t="n"/>
      <c r="D143" s="17" t="n"/>
      <c r="E143" s="17" t="n"/>
      <c r="F143" s="20" t="n"/>
      <c r="G143" s="20" t="n"/>
      <c r="H143" s="20" t="n"/>
      <c r="I143" s="20" t="n"/>
      <c r="J143" s="20" t="n"/>
      <c r="K143" s="20" t="n"/>
      <c r="L143" s="20" t="n"/>
      <c r="M143" s="17" t="n"/>
      <c r="N143" s="17" t="n"/>
    </row>
    <row r="144">
      <c r="A144" s="17" t="n"/>
      <c r="B144" s="19" t="n"/>
      <c r="C144" s="17" t="n"/>
      <c r="D144" s="17" t="n"/>
      <c r="E144" s="17" t="n"/>
      <c r="F144" s="20" t="n"/>
      <c r="G144" s="20" t="n"/>
      <c r="H144" s="20" t="n"/>
      <c r="I144" s="20" t="n"/>
      <c r="J144" s="20" t="n"/>
      <c r="K144" s="20" t="n"/>
      <c r="L144" s="20" t="n"/>
      <c r="M144" s="17" t="n"/>
      <c r="N144" s="17" t="n"/>
    </row>
    <row r="145">
      <c r="A145" s="17" t="n"/>
      <c r="B145" s="19" t="n"/>
      <c r="C145" s="17" t="n"/>
      <c r="D145" s="17" t="n"/>
      <c r="E145" s="17" t="n"/>
      <c r="F145" s="20" t="n"/>
      <c r="G145" s="20" t="n"/>
      <c r="H145" s="20" t="n"/>
      <c r="I145" s="20" t="n"/>
      <c r="J145" s="20" t="n"/>
      <c r="K145" s="20" t="n"/>
      <c r="L145" s="20" t="n"/>
      <c r="M145" s="17" t="n"/>
      <c r="N145" s="17" t="n"/>
    </row>
    <row r="146">
      <c r="A146" s="17" t="n"/>
      <c r="B146" s="19" t="n"/>
      <c r="C146" s="17" t="n"/>
      <c r="D146" s="17" t="n"/>
      <c r="E146" s="17" t="n"/>
      <c r="F146" s="20" t="n"/>
      <c r="G146" s="20" t="n"/>
      <c r="H146" s="20" t="n"/>
      <c r="I146" s="20" t="n"/>
      <c r="J146" s="20" t="n"/>
      <c r="K146" s="20" t="n"/>
      <c r="L146" s="20" t="n"/>
      <c r="M146" s="17" t="n"/>
      <c r="N146" s="17" t="n"/>
    </row>
    <row r="147">
      <c r="A147" s="17" t="n"/>
      <c r="B147" s="19" t="n"/>
      <c r="C147" s="17" t="n"/>
      <c r="D147" s="17" t="n"/>
      <c r="E147" s="17" t="n"/>
      <c r="F147" s="20" t="n"/>
      <c r="G147" s="20" t="n"/>
      <c r="H147" s="20" t="n"/>
      <c r="I147" s="20" t="n"/>
      <c r="J147" s="20" t="n"/>
      <c r="K147" s="20" t="n"/>
      <c r="L147" s="20" t="n"/>
      <c r="M147" s="17" t="n"/>
      <c r="N147" s="17" t="n"/>
    </row>
    <row r="148">
      <c r="A148" s="17" t="n"/>
      <c r="B148" s="19" t="n"/>
      <c r="C148" s="17" t="n"/>
      <c r="D148" s="17" t="n"/>
      <c r="E148" s="17" t="n"/>
      <c r="F148" s="20" t="n"/>
      <c r="G148" s="20" t="n"/>
      <c r="H148" s="20" t="n"/>
      <c r="I148" s="20" t="n"/>
      <c r="J148" s="20" t="n"/>
      <c r="K148" s="20" t="n"/>
      <c r="L148" s="20" t="n"/>
      <c r="M148" s="17" t="n"/>
      <c r="N148" s="17" t="n"/>
    </row>
    <row r="149">
      <c r="A149" s="17" t="n"/>
      <c r="B149" s="19" t="n"/>
      <c r="C149" s="17" t="n"/>
      <c r="D149" s="17" t="n"/>
      <c r="E149" s="17" t="n"/>
      <c r="F149" s="20" t="n"/>
      <c r="G149" s="20" t="n"/>
      <c r="H149" s="20" t="n"/>
      <c r="I149" s="20" t="n"/>
      <c r="J149" s="20" t="n"/>
      <c r="K149" s="20" t="n"/>
      <c r="L149" s="20" t="n"/>
      <c r="M149" s="17" t="n"/>
      <c r="N149" s="17" t="n"/>
    </row>
    <row r="150">
      <c r="A150" s="17" t="n"/>
      <c r="B150" s="19" t="n"/>
      <c r="C150" s="17" t="n"/>
      <c r="D150" s="17" t="n"/>
      <c r="E150" s="17" t="n"/>
      <c r="F150" s="20" t="n"/>
      <c r="G150" s="20" t="n"/>
      <c r="H150" s="20" t="n"/>
      <c r="I150" s="20" t="n"/>
      <c r="J150" s="20" t="n"/>
      <c r="K150" s="20" t="n"/>
      <c r="L150" s="20" t="n"/>
      <c r="M150" s="17" t="n"/>
      <c r="N150" s="17" t="n"/>
    </row>
    <row r="151">
      <c r="A151" s="17" t="n"/>
      <c r="B151" s="19" t="n"/>
      <c r="C151" s="17" t="n"/>
      <c r="D151" s="17" t="n"/>
      <c r="E151" s="17" t="n"/>
      <c r="F151" s="20" t="n"/>
      <c r="G151" s="20" t="n"/>
      <c r="H151" s="20" t="n"/>
      <c r="I151" s="20" t="n"/>
      <c r="J151" s="20" t="n"/>
      <c r="K151" s="20" t="n"/>
      <c r="L151" s="20" t="n"/>
      <c r="M151" s="17" t="n"/>
      <c r="N151" s="17" t="n"/>
    </row>
    <row r="152">
      <c r="A152" s="17" t="n"/>
      <c r="B152" s="19" t="n"/>
      <c r="C152" s="17" t="n"/>
      <c r="D152" s="17" t="n"/>
      <c r="E152" s="17" t="n"/>
      <c r="F152" s="20" t="n"/>
      <c r="G152" s="20" t="n"/>
      <c r="H152" s="20" t="n"/>
      <c r="I152" s="20" t="n"/>
      <c r="J152" s="20" t="n"/>
      <c r="K152" s="20" t="n"/>
      <c r="L152" s="20" t="n"/>
      <c r="M152" s="17" t="n"/>
      <c r="N152" s="17" t="n"/>
    </row>
  </sheetData>
  <autoFilter ref="A1:N152"/>
  <conditionalFormatting sqref="E3:E152">
    <cfRule type="expression" priority="1" dxfId="1">
      <formula>AND($D3&lt;&gt;"",NOT(OR($D3="Ruta",$D3="Triatlón",$D3="Duatlón",$D3="Hyrox")))</formula>
    </cfRule>
    <cfRule type="expression" priority="2" dxfId="0">
      <formula>AND(OR($D3="Ruta",$D3="Triatlón",$D3="Duatlón",$D3="Hyrox"),E3="")</formula>
    </cfRule>
  </conditionalFormatting>
  <conditionalFormatting sqref="F3:F152">
    <cfRule type="expression" priority="3" dxfId="1">
      <formula>AND($D3&lt;&gt;"",NOT(OR(AND($D3="Ruta",$E3="Otra distancia"),$D3="Trail",$D3="Ciclismo",$D3="Otra")))</formula>
    </cfRule>
    <cfRule type="expression" priority="19" dxfId="0">
      <formula>AND(OR(AND($D3="Ruta",$E3="Otra distancia"),$D3="Trail",$D3="Ciclismo"),$F3="")</formula>
    </cfRule>
  </conditionalFormatting>
  <conditionalFormatting sqref="G3:G152">
    <cfRule type="expression" priority="4" dxfId="1">
      <formula>AND($D3&lt;&gt;"",NOT(OR($D3="Trail",$D3="Ciclismo")))</formula>
    </cfRule>
  </conditionalFormatting>
  <conditionalFormatting sqref="H3:H152">
    <cfRule type="expression" priority="5" dxfId="1">
      <formula>AND($D3&lt;&gt;"",NOT(AND($D3="Triatlón",$E3="Otra distancia")))</formula>
    </cfRule>
    <cfRule type="expression" priority="6" dxfId="0">
      <formula>AND(AND($D3="Triatlón",$E3="Otra distancia"),H3="")</formula>
    </cfRule>
  </conditionalFormatting>
  <conditionalFormatting sqref="I3:I152">
    <cfRule type="expression" priority="7" dxfId="1">
      <formula>AND($D3&lt;&gt;"",NOT(AND(OR($D3="Triatlón",$D3="Duatlón"),$E3="Otra distancia")))</formula>
    </cfRule>
    <cfRule type="expression" priority="8" dxfId="0">
      <formula>AND(AND(OR($D3="Triatlón",$D3="Duatlón"),$E3="Otra distancia"),I3="")</formula>
    </cfRule>
  </conditionalFormatting>
  <conditionalFormatting sqref="J3:J152">
    <cfRule type="expression" priority="9" dxfId="1">
      <formula>AND($D3&lt;&gt;"",NOT(AND($D3="Triatlón",$E3="Otra distancia")))</formula>
    </cfRule>
    <cfRule type="expression" priority="10" dxfId="0">
      <formula>AND(AND($D3="Triatlón",$E3="Otra distancia"),J3="")</formula>
    </cfRule>
  </conditionalFormatting>
  <conditionalFormatting sqref="K3:K152">
    <cfRule type="expression" priority="11" dxfId="1">
      <formula>AND($D3&lt;&gt;"",NOT(AND($D3="Duatlón",$E3="Otra distancia")))</formula>
    </cfRule>
    <cfRule type="expression" priority="12" dxfId="0">
      <formula>AND(AND($D3="Duatlón",$E3="Otra distancia"),K3="")</formula>
    </cfRule>
  </conditionalFormatting>
  <conditionalFormatting sqref="L3:L152">
    <cfRule type="expression" priority="13" dxfId="1">
      <formula>AND($D3&lt;&gt;"",NOT(AND($D3="Duatlón",$E3="Otra distancia")))</formula>
    </cfRule>
    <cfRule type="expression" priority="14" dxfId="0">
      <formula>AND(AND($D3="Duatlón",$E3="Otra distancia"),L3="")</formula>
    </cfRule>
  </conditionalFormatting>
  <conditionalFormatting sqref="M3:M152">
    <cfRule type="expression" priority="15" dxfId="1">
      <formula>AND($D3&lt;&gt;"",NOT($D3="Natación"))</formula>
    </cfRule>
    <cfRule type="expression" priority="16" dxfId="0">
      <formula>AND($D3="Natación",M3="")</formula>
    </cfRule>
  </conditionalFormatting>
  <conditionalFormatting sqref="N3:N152">
    <cfRule type="expression" priority="17" dxfId="1">
      <formula>AND($D3&lt;&gt;"",NOT($D3="Otra"))</formula>
    </cfRule>
    <cfRule type="expression" priority="18" dxfId="0">
      <formula>AND($D3="Otra",N3="")</formula>
    </cfRule>
  </conditionalFormatting>
  <conditionalFormatting sqref="A3:A152">
    <cfRule type="expression" priority="20" dxfId="0">
      <formula>AND($A3&lt;&gt;"",COUNTIF($A$3:$A$152,$A3)&gt;1)</formula>
    </cfRule>
  </conditionalFormatting>
  <conditionalFormatting sqref="B3:B152">
    <cfRule type="expression" priority="21" dxfId="0">
      <formula>AND($A3&lt;&gt;"",$B3="")</formula>
    </cfRule>
  </conditionalFormatting>
  <conditionalFormatting sqref="D3:D152">
    <cfRule type="expression" priority="22" dxfId="0">
      <formula>AND($A3&lt;&gt;"",$D3="")</formula>
    </cfRule>
  </conditionalFormatting>
  <dataValidations count="14">
    <dataValidation sqref="A2:A152" showDropDown="0" showInputMessage="0" showErrorMessage="1" allowBlank="1" errorTitle="Valor no válido" error="Hasta 120 caracteres." type="custom">
      <formula1>=LEN(A2)&lt;=120</formula1>
    </dataValidation>
    <dataValidation sqref="B2:B152" showDropDown="0" showInputMessage="0" showErrorMessage="1" allowBlank="1" errorTitle="Valor no válido" error="Debe ser hoy o una fecha futura." type="date" operator="greaterThanOrEqual">
      <formula1>TODAY()</formula1>
    </dataValidation>
    <dataValidation sqref="C2:C152" showDropDown="0" showInputMessage="0" showErrorMessage="1" allowBlank="1" errorTitle="Valor no válido" error="Hasta 120 caracteres." type="custom">
      <formula1>=LEN(C2)&lt;=120</formula1>
    </dataValidation>
    <dataValidation sqref="D2:D152" showDropDown="0" showInputMessage="0" showErrorMessage="1" allowBlank="1" errorTitle="Valor no válido" error="Elige una opción de la lista." type="list">
      <formula1>=lst_Deporte</formula1>
    </dataValidation>
    <dataValidation sqref="E2:E152" showDropDown="0" showInputMessage="0" showErrorMessage="1" allowBlank="1" errorTitle="Valor no válido" error="Elige una opción de la lista." type="list">
      <formula1>=lst_Formato</formula1>
    </dataValidation>
    <dataValidation sqref="F2:F152" showDropDown="0" showInputMessage="0" showErrorMessage="1" allowBlank="1" errorTitle="Valor no válido" error="Debe ser mayor que 0." type="decimal" operator="greaterThan">
      <formula1>0</formula1>
    </dataValidation>
    <dataValidation sqref="G2:G152" showDropDown="0" showInputMessage="0" showErrorMessage="1" allowBlank="1" errorTitle="Valor no válido" error="Debe ser mayor que 0." type="decimal" operator="greaterThan">
      <formula1>0</formula1>
    </dataValidation>
    <dataValidation sqref="H2:H152" showDropDown="0" showInputMessage="0" showErrorMessage="1" allowBlank="1" errorTitle="Valor no válido" error="Debe ser mayor que 0." type="decimal" operator="greaterThan">
      <formula1>0</formula1>
    </dataValidation>
    <dataValidation sqref="I2:I152" showDropDown="0" showInputMessage="0" showErrorMessage="1" allowBlank="1" errorTitle="Valor no válido" error="Debe ser mayor que 0." type="decimal" operator="greaterThan">
      <formula1>0</formula1>
    </dataValidation>
    <dataValidation sqref="J2:J152" showDropDown="0" showInputMessage="0" showErrorMessage="1" allowBlank="1" errorTitle="Valor no válido" error="Debe ser mayor que 0." type="decimal" operator="greaterThan">
      <formula1>0</formula1>
    </dataValidation>
    <dataValidation sqref="K2:K152" showDropDown="0" showInputMessage="0" showErrorMessage="1" allowBlank="1" errorTitle="Valor no válido" error="Debe ser mayor que 0." type="decimal" operator="greaterThan">
      <formula1>0</formula1>
    </dataValidation>
    <dataValidation sqref="L2:L152" showDropDown="0" showInputMessage="0" showErrorMessage="1" allowBlank="1" errorTitle="Valor no válido" error="Debe ser mayor que 0." type="decimal" operator="greaterThan">
      <formula1>0</formula1>
    </dataValidation>
    <dataValidation sqref="M2:M152" showDropDown="0" showInputMessage="0" showErrorMessage="1" allowBlank="1" errorTitle="Valor no válido" error="Debe ser mayor que 0." type="decimal" operator="greaterThan">
      <formula1>0</formula1>
    </dataValidation>
    <dataValidation sqref="N2:N152" showDropDown="0" showInputMessage="0" showErrorMessage="1" allowBlank="1" errorTitle="Valor no válido" error="Hasta 60 caracteres." type="custom">
      <formula1>=LEN(N2)&lt;=60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SiNo</t>
        </is>
      </c>
      <c r="C1" t="inlineStr">
        <is>
          <t>Nivel</t>
        </is>
      </c>
      <c r="D1" t="inlineStr">
        <is>
          <t>Objetivo</t>
        </is>
      </c>
      <c r="E1" t="inlineStr">
        <is>
          <t>Membresia</t>
        </is>
      </c>
      <c r="F1" t="inlineStr">
        <is>
          <t>Distancia</t>
        </is>
      </c>
      <c r="G1" t="inlineStr">
        <is>
          <t>Deporte</t>
        </is>
      </c>
      <c r="H1" t="inlineStr">
        <is>
          <t>Formato</t>
        </is>
      </c>
    </row>
    <row r="2">
      <c r="A2" t="inlineStr">
        <is>
          <t>Femenino</t>
        </is>
      </c>
      <c r="B2" t="inlineStr">
        <is>
          <t>Sí</t>
        </is>
      </c>
      <c r="C2" t="inlineStr">
        <is>
          <t>Principiante</t>
        </is>
      </c>
      <c r="D2" t="inlineStr">
        <is>
          <t>Carrera</t>
        </is>
      </c>
      <c r="E2" t="inlineStr">
        <is>
          <t>Manual</t>
        </is>
      </c>
      <c r="F2" t="inlineStr">
        <is>
          <t>1K</t>
        </is>
      </c>
      <c r="G2" t="inlineStr">
        <is>
          <t>Ruta</t>
        </is>
      </c>
      <c r="H2" t="inlineStr">
        <is>
          <t>5K</t>
        </is>
      </c>
    </row>
    <row r="3">
      <c r="A3" t="inlineStr">
        <is>
          <t>Masculino</t>
        </is>
      </c>
      <c r="B3" t="inlineStr">
        <is>
          <t>No</t>
        </is>
      </c>
      <c r="C3" t="inlineStr">
        <is>
          <t>Intermedio</t>
        </is>
      </c>
      <c r="D3" t="inlineStr">
        <is>
          <t>Mantenimiento</t>
        </is>
      </c>
      <c r="E3" t="inlineStr">
        <is>
          <t>Gratis</t>
        </is>
      </c>
      <c r="F3" t="inlineStr">
        <is>
          <t>5K</t>
        </is>
      </c>
      <c r="G3" t="inlineStr">
        <is>
          <t>Trail</t>
        </is>
      </c>
      <c r="H3" t="inlineStr">
        <is>
          <t>10K</t>
        </is>
      </c>
    </row>
    <row r="4">
      <c r="C4" t="inlineStr">
        <is>
          <t>Avanzado</t>
        </is>
      </c>
      <c r="F4" t="inlineStr">
        <is>
          <t>10K</t>
        </is>
      </c>
      <c r="G4" t="inlineStr">
        <is>
          <t>Triatlón</t>
        </is>
      </c>
      <c r="H4" t="inlineStr">
        <is>
          <t>Media maratón</t>
        </is>
      </c>
    </row>
    <row r="5">
      <c r="F5" t="inlineStr">
        <is>
          <t>21K</t>
        </is>
      </c>
      <c r="G5" t="inlineStr">
        <is>
          <t>Duatlón</t>
        </is>
      </c>
      <c r="H5" t="inlineStr">
        <is>
          <t>Maratón</t>
        </is>
      </c>
    </row>
    <row r="6">
      <c r="G6" t="inlineStr">
        <is>
          <t>Natación</t>
        </is>
      </c>
      <c r="H6" t="inlineStr">
        <is>
          <t>Sprint</t>
        </is>
      </c>
    </row>
    <row r="7">
      <c r="G7" t="inlineStr">
        <is>
          <t>Ciclismo</t>
        </is>
      </c>
      <c r="H7" t="inlineStr">
        <is>
          <t>Olímpico</t>
        </is>
      </c>
    </row>
    <row r="8">
      <c r="G8" t="inlineStr">
        <is>
          <t>Hyrox</t>
        </is>
      </c>
      <c r="H8" t="inlineStr">
        <is>
          <t>70.3</t>
        </is>
      </c>
    </row>
    <row r="9">
      <c r="G9" t="inlineStr">
        <is>
          <t>Otra</t>
        </is>
      </c>
      <c r="H9" t="inlineStr">
        <is>
          <t>140.6</t>
        </is>
      </c>
    </row>
    <row r="10">
      <c r="H10" t="inlineStr">
        <is>
          <t>Estándar</t>
        </is>
      </c>
    </row>
    <row r="11">
      <c r="H11" t="inlineStr">
        <is>
          <t>Open</t>
        </is>
      </c>
    </row>
    <row r="12">
      <c r="H12" t="inlineStr">
        <is>
          <t>Pro</t>
        </is>
      </c>
    </row>
    <row r="13">
      <c r="H13" t="inlineStr">
        <is>
          <t>Dobles</t>
        </is>
      </c>
    </row>
    <row r="14">
      <c r="H14" t="inlineStr">
        <is>
          <t>Relevos</t>
        </is>
      </c>
    </row>
    <row r="15">
      <c r="H15" t="inlineStr">
        <is>
          <t>Otra distancia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2026-10-28T22:52:35Z</dcterms:created>
  <dcterms:modified xsi:type="dcterms:W3CDTF">2026-10-28T22:52:36Z</dcterms:modified>
</cp:coreProperties>
</file>